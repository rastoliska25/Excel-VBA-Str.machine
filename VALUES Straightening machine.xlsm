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zošit" defaultThemeVersion="153222"/>
  <mc:AlternateContent xmlns:mc="http://schemas.openxmlformats.org/markup-compatibility/2006">
    <mc:Choice Requires="x15">
      <x15ac:absPath xmlns:x15ac="http://schemas.microsoft.com/office/spreadsheetml/2010/11/ac" url="C:\Users\liska\Desktop\Mymacros\"/>
    </mc:Choice>
  </mc:AlternateContent>
  <bookViews>
    <workbookView xWindow="0" yWindow="0" windowWidth="28800" windowHeight="13035"/>
  </bookViews>
  <sheets>
    <sheet name="1030" sheetId="1" r:id="rId1"/>
    <sheet name="1040" sheetId="2" r:id="rId2"/>
    <sheet name="1050" sheetId="3" r:id="rId3"/>
    <sheet name="1060" sheetId="4" r:id="rId4"/>
    <sheet name="forces 1030" sheetId="6" r:id="rId5"/>
    <sheet name="forces 1040" sheetId="7" r:id="rId6"/>
    <sheet name="forces 1050" sheetId="8" r:id="rId7"/>
    <sheet name="forces 1060" sheetId="11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11" l="1"/>
  <c r="M29" i="11" s="1"/>
  <c r="K29" i="11"/>
  <c r="N29" i="11" s="1"/>
  <c r="J30" i="11"/>
  <c r="M30" i="11" s="1"/>
  <c r="K30" i="11"/>
  <c r="N30" i="11" s="1"/>
  <c r="J31" i="11"/>
  <c r="M31" i="11" s="1"/>
  <c r="K31" i="11"/>
  <c r="N31" i="11" s="1"/>
  <c r="J32" i="11"/>
  <c r="M32" i="11" s="1"/>
  <c r="K32" i="11"/>
  <c r="N32" i="11" s="1"/>
  <c r="G29" i="11"/>
  <c r="H29" i="11"/>
  <c r="G30" i="11"/>
  <c r="H30" i="11"/>
  <c r="G31" i="11"/>
  <c r="H31" i="11"/>
  <c r="G32" i="11"/>
  <c r="H32" i="11"/>
  <c r="H28" i="11"/>
  <c r="K28" i="11" s="1"/>
  <c r="N28" i="11" s="1"/>
  <c r="G28" i="11"/>
  <c r="J28" i="11" s="1"/>
  <c r="M28" i="11" s="1"/>
  <c r="H27" i="11"/>
  <c r="K27" i="11" s="1"/>
  <c r="N27" i="11" s="1"/>
  <c r="G27" i="11"/>
  <c r="J27" i="11" s="1"/>
  <c r="M27" i="11" s="1"/>
  <c r="H26" i="11"/>
  <c r="K26" i="11" s="1"/>
  <c r="N26" i="11" s="1"/>
  <c r="G26" i="11"/>
  <c r="J26" i="11" s="1"/>
  <c r="M26" i="11" s="1"/>
  <c r="H25" i="11"/>
  <c r="K25" i="11" s="1"/>
  <c r="N25" i="11" s="1"/>
  <c r="G25" i="11"/>
  <c r="J25" i="11" s="1"/>
  <c r="M25" i="11" s="1"/>
  <c r="H24" i="11"/>
  <c r="K24" i="11" s="1"/>
  <c r="N24" i="11" s="1"/>
  <c r="G24" i="11"/>
  <c r="J24" i="11" s="1"/>
  <c r="M24" i="11" s="1"/>
  <c r="J23" i="11"/>
  <c r="M23" i="11" s="1"/>
  <c r="H23" i="11"/>
  <c r="K23" i="11" s="1"/>
  <c r="N23" i="11" s="1"/>
  <c r="G23" i="11"/>
  <c r="H22" i="11"/>
  <c r="K22" i="11" s="1"/>
  <c r="N22" i="11" s="1"/>
  <c r="G22" i="11"/>
  <c r="J22" i="11" s="1"/>
  <c r="M22" i="11" s="1"/>
  <c r="H21" i="11"/>
  <c r="K21" i="11" s="1"/>
  <c r="N21" i="11" s="1"/>
  <c r="G21" i="11"/>
  <c r="J21" i="11" s="1"/>
  <c r="M21" i="11" s="1"/>
  <c r="H20" i="11"/>
  <c r="K20" i="11" s="1"/>
  <c r="N20" i="11" s="1"/>
  <c r="G20" i="11"/>
  <c r="J20" i="11" s="1"/>
  <c r="M20" i="11" s="1"/>
  <c r="H19" i="11"/>
  <c r="K19" i="11" s="1"/>
  <c r="N19" i="11" s="1"/>
  <c r="G19" i="11"/>
  <c r="J19" i="11" s="1"/>
  <c r="M19" i="11" s="1"/>
  <c r="H18" i="11"/>
  <c r="K18" i="11" s="1"/>
  <c r="N18" i="11" s="1"/>
  <c r="G18" i="11"/>
  <c r="J18" i="11" s="1"/>
  <c r="M18" i="11" s="1"/>
  <c r="H17" i="11"/>
  <c r="K17" i="11" s="1"/>
  <c r="N17" i="11" s="1"/>
  <c r="G17" i="11"/>
  <c r="J17" i="11" s="1"/>
  <c r="M17" i="11" s="1"/>
  <c r="H16" i="11"/>
  <c r="K16" i="11" s="1"/>
  <c r="N16" i="11" s="1"/>
  <c r="G16" i="11"/>
  <c r="J16" i="11" s="1"/>
  <c r="M16" i="11" s="1"/>
  <c r="H15" i="11"/>
  <c r="K15" i="11" s="1"/>
  <c r="N15" i="11" s="1"/>
  <c r="G15" i="11"/>
  <c r="J15" i="11" s="1"/>
  <c r="M15" i="11" s="1"/>
  <c r="H14" i="11"/>
  <c r="K14" i="11" s="1"/>
  <c r="N14" i="11" s="1"/>
  <c r="G14" i="11"/>
  <c r="J14" i="11" s="1"/>
  <c r="M14" i="11" s="1"/>
  <c r="H13" i="11"/>
  <c r="K13" i="11" s="1"/>
  <c r="N13" i="11" s="1"/>
  <c r="G13" i="11"/>
  <c r="J13" i="11" s="1"/>
  <c r="M13" i="11" s="1"/>
  <c r="H12" i="11"/>
  <c r="K12" i="11" s="1"/>
  <c r="N12" i="11" s="1"/>
  <c r="G12" i="11"/>
  <c r="J12" i="11" s="1"/>
  <c r="M12" i="11" s="1"/>
  <c r="J11" i="11"/>
  <c r="M11" i="11" s="1"/>
  <c r="H11" i="11"/>
  <c r="K11" i="11" s="1"/>
  <c r="N11" i="11" s="1"/>
  <c r="G11" i="11"/>
  <c r="H10" i="11"/>
  <c r="K10" i="11" s="1"/>
  <c r="N10" i="11" s="1"/>
  <c r="G10" i="11"/>
  <c r="J10" i="11" s="1"/>
  <c r="M10" i="11" s="1"/>
  <c r="H9" i="11"/>
  <c r="K9" i="11" s="1"/>
  <c r="N9" i="11" s="1"/>
  <c r="G9" i="11"/>
  <c r="J9" i="11" s="1"/>
  <c r="M9" i="11" s="1"/>
  <c r="H8" i="11"/>
  <c r="K8" i="11" s="1"/>
  <c r="N8" i="11" s="1"/>
  <c r="G8" i="11"/>
  <c r="J8" i="11" s="1"/>
  <c r="M8" i="11" s="1"/>
  <c r="H7" i="11"/>
  <c r="K7" i="11" s="1"/>
  <c r="N7" i="11" s="1"/>
  <c r="G7" i="11"/>
  <c r="J7" i="11" s="1"/>
  <c r="M7" i="11" s="1"/>
  <c r="H6" i="11"/>
  <c r="K6" i="11" s="1"/>
  <c r="N6" i="11" s="1"/>
  <c r="G6" i="11"/>
  <c r="J6" i="11" s="1"/>
  <c r="M6" i="11" s="1"/>
  <c r="H5" i="11"/>
  <c r="K5" i="11" s="1"/>
  <c r="N5" i="11" s="1"/>
  <c r="G5" i="11"/>
  <c r="J5" i="11" s="1"/>
  <c r="M5" i="11" s="1"/>
  <c r="H4" i="11"/>
  <c r="K4" i="11" s="1"/>
  <c r="N4" i="11" s="1"/>
  <c r="G4" i="11"/>
  <c r="J4" i="11" s="1"/>
  <c r="M4" i="11" s="1"/>
  <c r="H3" i="11"/>
  <c r="K3" i="11" s="1"/>
  <c r="G3" i="11"/>
  <c r="J3" i="11" s="1"/>
  <c r="K3" i="8" l="1"/>
  <c r="H3" i="8"/>
  <c r="G3" i="8"/>
  <c r="J3" i="8" s="1"/>
  <c r="G7" i="8"/>
  <c r="J7" i="8" s="1"/>
  <c r="M7" i="8" s="1"/>
  <c r="G15" i="8"/>
  <c r="H28" i="8"/>
  <c r="K28" i="8" s="1"/>
  <c r="N28" i="8" s="1"/>
  <c r="G28" i="8"/>
  <c r="J28" i="8" s="1"/>
  <c r="M28" i="8" s="1"/>
  <c r="H27" i="8"/>
  <c r="K27" i="8" s="1"/>
  <c r="N27" i="8" s="1"/>
  <c r="G27" i="8"/>
  <c r="J27" i="8" s="1"/>
  <c r="M27" i="8" s="1"/>
  <c r="H26" i="8"/>
  <c r="K26" i="8" s="1"/>
  <c r="N26" i="8" s="1"/>
  <c r="G26" i="8"/>
  <c r="J26" i="8" s="1"/>
  <c r="M26" i="8" s="1"/>
  <c r="H25" i="8"/>
  <c r="K25" i="8" s="1"/>
  <c r="N25" i="8" s="1"/>
  <c r="G25" i="8"/>
  <c r="J25" i="8" s="1"/>
  <c r="M25" i="8" s="1"/>
  <c r="H24" i="8"/>
  <c r="K24" i="8" s="1"/>
  <c r="N24" i="8" s="1"/>
  <c r="G24" i="8"/>
  <c r="J24" i="8" s="1"/>
  <c r="M24" i="8" s="1"/>
  <c r="K23" i="8"/>
  <c r="N23" i="8" s="1"/>
  <c r="H23" i="8"/>
  <c r="G23" i="8"/>
  <c r="J23" i="8" s="1"/>
  <c r="M23" i="8" s="1"/>
  <c r="J22" i="8"/>
  <c r="M22" i="8" s="1"/>
  <c r="H22" i="8"/>
  <c r="K22" i="8" s="1"/>
  <c r="N22" i="8" s="1"/>
  <c r="G22" i="8"/>
  <c r="H21" i="8"/>
  <c r="K21" i="8" s="1"/>
  <c r="N21" i="8" s="1"/>
  <c r="G21" i="8"/>
  <c r="J21" i="8" s="1"/>
  <c r="M21" i="8" s="1"/>
  <c r="H20" i="8"/>
  <c r="K20" i="8" s="1"/>
  <c r="N20" i="8" s="1"/>
  <c r="G20" i="8"/>
  <c r="J20" i="8" s="1"/>
  <c r="M20" i="8" s="1"/>
  <c r="H19" i="8"/>
  <c r="K19" i="8" s="1"/>
  <c r="N19" i="8" s="1"/>
  <c r="G19" i="8"/>
  <c r="J19" i="8" s="1"/>
  <c r="M19" i="8" s="1"/>
  <c r="H18" i="8"/>
  <c r="K18" i="8" s="1"/>
  <c r="N18" i="8" s="1"/>
  <c r="G18" i="8"/>
  <c r="J18" i="8" s="1"/>
  <c r="M18" i="8" s="1"/>
  <c r="H17" i="8"/>
  <c r="K17" i="8" s="1"/>
  <c r="N17" i="8" s="1"/>
  <c r="G17" i="8"/>
  <c r="J17" i="8" s="1"/>
  <c r="M17" i="8" s="1"/>
  <c r="H16" i="8"/>
  <c r="K16" i="8" s="1"/>
  <c r="N16" i="8" s="1"/>
  <c r="G16" i="8"/>
  <c r="J16" i="8" s="1"/>
  <c r="M16" i="8" s="1"/>
  <c r="H15" i="8"/>
  <c r="K15" i="8" s="1"/>
  <c r="N15" i="8" s="1"/>
  <c r="J15" i="8"/>
  <c r="M15" i="8" s="1"/>
  <c r="H14" i="8"/>
  <c r="K14" i="8" s="1"/>
  <c r="N14" i="8" s="1"/>
  <c r="G14" i="8"/>
  <c r="J14" i="8" s="1"/>
  <c r="M14" i="8" s="1"/>
  <c r="H13" i="8"/>
  <c r="K13" i="8" s="1"/>
  <c r="N13" i="8" s="1"/>
  <c r="G13" i="8"/>
  <c r="J13" i="8" s="1"/>
  <c r="M13" i="8" s="1"/>
  <c r="H12" i="8"/>
  <c r="K12" i="8" s="1"/>
  <c r="N12" i="8" s="1"/>
  <c r="G12" i="8"/>
  <c r="J12" i="8" s="1"/>
  <c r="M12" i="8" s="1"/>
  <c r="H11" i="8"/>
  <c r="K11" i="8" s="1"/>
  <c r="N11" i="8" s="1"/>
  <c r="G11" i="8"/>
  <c r="J11" i="8" s="1"/>
  <c r="M11" i="8" s="1"/>
  <c r="H10" i="8"/>
  <c r="K10" i="8" s="1"/>
  <c r="N10" i="8" s="1"/>
  <c r="G10" i="8"/>
  <c r="J10" i="8" s="1"/>
  <c r="M10" i="8" s="1"/>
  <c r="H9" i="8"/>
  <c r="K9" i="8" s="1"/>
  <c r="N9" i="8" s="1"/>
  <c r="G9" i="8"/>
  <c r="J9" i="8" s="1"/>
  <c r="M9" i="8" s="1"/>
  <c r="H8" i="8"/>
  <c r="K8" i="8" s="1"/>
  <c r="N8" i="8" s="1"/>
  <c r="G8" i="8"/>
  <c r="J8" i="8" s="1"/>
  <c r="M8" i="8" s="1"/>
  <c r="H7" i="8"/>
  <c r="K7" i="8" s="1"/>
  <c r="H6" i="8"/>
  <c r="G6" i="8"/>
  <c r="J6" i="8" s="1"/>
  <c r="M6" i="8" s="1"/>
  <c r="H5" i="8"/>
  <c r="G5" i="8"/>
  <c r="J5" i="8" s="1"/>
  <c r="M5" i="8" s="1"/>
  <c r="H4" i="8"/>
  <c r="K4" i="8" s="1"/>
  <c r="N4" i="8" s="1"/>
  <c r="G4" i="8"/>
  <c r="J4" i="8" s="1"/>
  <c r="M4" i="8" s="1"/>
  <c r="N5" i="8" l="1"/>
  <c r="N7" i="8"/>
  <c r="K6" i="8"/>
  <c r="N6" i="8" s="1"/>
  <c r="K5" i="8"/>
  <c r="N6" i="7"/>
  <c r="G5" i="7"/>
  <c r="J5" i="7" s="1"/>
  <c r="M5" i="7" s="1"/>
  <c r="H5" i="7"/>
  <c r="K5" i="7" s="1"/>
  <c r="N5" i="7" s="1"/>
  <c r="H34" i="7"/>
  <c r="K34" i="7" s="1"/>
  <c r="N34" i="7" s="1"/>
  <c r="G34" i="7"/>
  <c r="J34" i="7" s="1"/>
  <c r="M34" i="7" s="1"/>
  <c r="H33" i="7"/>
  <c r="K33" i="7" s="1"/>
  <c r="N33" i="7" s="1"/>
  <c r="G33" i="7"/>
  <c r="J33" i="7" s="1"/>
  <c r="M33" i="7" s="1"/>
  <c r="H32" i="7"/>
  <c r="K32" i="7" s="1"/>
  <c r="N32" i="7" s="1"/>
  <c r="G32" i="7"/>
  <c r="J32" i="7" s="1"/>
  <c r="M32" i="7" s="1"/>
  <c r="H31" i="7"/>
  <c r="K31" i="7" s="1"/>
  <c r="N31" i="7" s="1"/>
  <c r="G31" i="7"/>
  <c r="J31" i="7" s="1"/>
  <c r="M31" i="7" s="1"/>
  <c r="H22" i="7"/>
  <c r="K22" i="7" s="1"/>
  <c r="N22" i="7" s="1"/>
  <c r="G22" i="7"/>
  <c r="J22" i="7" s="1"/>
  <c r="M22" i="7" s="1"/>
  <c r="H18" i="7"/>
  <c r="K18" i="7" s="1"/>
  <c r="N18" i="7" s="1"/>
  <c r="G18" i="7"/>
  <c r="J18" i="7" s="1"/>
  <c r="M18" i="7" s="1"/>
  <c r="H17" i="7"/>
  <c r="K17" i="7" s="1"/>
  <c r="N17" i="7" s="1"/>
  <c r="G17" i="7"/>
  <c r="J17" i="7" s="1"/>
  <c r="M17" i="7" s="1"/>
  <c r="H21" i="7"/>
  <c r="K21" i="7" s="1"/>
  <c r="N21" i="7" s="1"/>
  <c r="G21" i="7"/>
  <c r="J21" i="7" s="1"/>
  <c r="M21" i="7" s="1"/>
  <c r="H20" i="7"/>
  <c r="K20" i="7" s="1"/>
  <c r="N20" i="7" s="1"/>
  <c r="G20" i="7"/>
  <c r="J20" i="7" s="1"/>
  <c r="M20" i="7" s="1"/>
  <c r="H14" i="7"/>
  <c r="K14" i="7" s="1"/>
  <c r="N14" i="7" s="1"/>
  <c r="G14" i="7"/>
  <c r="J14" i="7" s="1"/>
  <c r="M14" i="7" s="1"/>
  <c r="H13" i="7"/>
  <c r="K13" i="7" s="1"/>
  <c r="N13" i="7" s="1"/>
  <c r="G13" i="7"/>
  <c r="J13" i="7" s="1"/>
  <c r="M13" i="7" s="1"/>
  <c r="H16" i="7"/>
  <c r="K16" i="7" s="1"/>
  <c r="N16" i="7" s="1"/>
  <c r="G16" i="7"/>
  <c r="J16" i="7" s="1"/>
  <c r="M16" i="7" s="1"/>
  <c r="H15" i="7"/>
  <c r="K15" i="7" s="1"/>
  <c r="N15" i="7" s="1"/>
  <c r="G15" i="7"/>
  <c r="J15" i="7" s="1"/>
  <c r="M15" i="7" s="1"/>
  <c r="H27" i="7"/>
  <c r="K27" i="7" s="1"/>
  <c r="N27" i="7" s="1"/>
  <c r="G27" i="7"/>
  <c r="J27" i="7" s="1"/>
  <c r="M27" i="7" s="1"/>
  <c r="H26" i="7"/>
  <c r="K26" i="7" s="1"/>
  <c r="N26" i="7" s="1"/>
  <c r="G26" i="7"/>
  <c r="J26" i="7" s="1"/>
  <c r="M26" i="7" s="1"/>
  <c r="H25" i="7"/>
  <c r="K25" i="7" s="1"/>
  <c r="N25" i="7" s="1"/>
  <c r="G25" i="7"/>
  <c r="J25" i="7" s="1"/>
  <c r="M25" i="7" s="1"/>
  <c r="H24" i="7"/>
  <c r="K24" i="7" s="1"/>
  <c r="N24" i="7" s="1"/>
  <c r="G24" i="7"/>
  <c r="J24" i="7" s="1"/>
  <c r="M24" i="7" s="1"/>
  <c r="H23" i="7"/>
  <c r="K23" i="7" s="1"/>
  <c r="N23" i="7" s="1"/>
  <c r="G23" i="7"/>
  <c r="J23" i="7" s="1"/>
  <c r="M23" i="7" s="1"/>
  <c r="H30" i="7"/>
  <c r="K30" i="7" s="1"/>
  <c r="N30" i="7" s="1"/>
  <c r="G30" i="7"/>
  <c r="J30" i="7" s="1"/>
  <c r="M30" i="7" s="1"/>
  <c r="H29" i="7"/>
  <c r="K29" i="7" s="1"/>
  <c r="N29" i="7" s="1"/>
  <c r="G29" i="7"/>
  <c r="J29" i="7" s="1"/>
  <c r="M29" i="7" s="1"/>
  <c r="H28" i="7"/>
  <c r="K28" i="7" s="1"/>
  <c r="N28" i="7" s="1"/>
  <c r="G28" i="7"/>
  <c r="J28" i="7" s="1"/>
  <c r="M28" i="7" s="1"/>
  <c r="H19" i="7"/>
  <c r="K19" i="7" s="1"/>
  <c r="N19" i="7" s="1"/>
  <c r="G19" i="7"/>
  <c r="J19" i="7" s="1"/>
  <c r="M19" i="7" s="1"/>
  <c r="H12" i="7"/>
  <c r="K12" i="7" s="1"/>
  <c r="N12" i="7" s="1"/>
  <c r="G12" i="7"/>
  <c r="J12" i="7" s="1"/>
  <c r="M12" i="7" s="1"/>
  <c r="H11" i="7"/>
  <c r="K11" i="7" s="1"/>
  <c r="N11" i="7" s="1"/>
  <c r="G11" i="7"/>
  <c r="J11" i="7" s="1"/>
  <c r="M11" i="7" s="1"/>
  <c r="H10" i="7"/>
  <c r="K10" i="7" s="1"/>
  <c r="N10" i="7" s="1"/>
  <c r="G10" i="7"/>
  <c r="J10" i="7" s="1"/>
  <c r="M10" i="7" s="1"/>
  <c r="H9" i="7"/>
  <c r="K9" i="7" s="1"/>
  <c r="N9" i="7" s="1"/>
  <c r="G9" i="7"/>
  <c r="J9" i="7" s="1"/>
  <c r="M9" i="7" s="1"/>
  <c r="H8" i="7"/>
  <c r="K8" i="7" s="1"/>
  <c r="N8" i="7" s="1"/>
  <c r="G8" i="7"/>
  <c r="J8" i="7" s="1"/>
  <c r="M8" i="7" s="1"/>
  <c r="H4" i="7"/>
  <c r="K4" i="7" s="1"/>
  <c r="N4" i="7" s="1"/>
  <c r="G4" i="7"/>
  <c r="J4" i="7" s="1"/>
  <c r="M4" i="7" s="1"/>
  <c r="H7" i="7"/>
  <c r="K7" i="7" s="1"/>
  <c r="N7" i="7" s="1"/>
  <c r="G7" i="7"/>
  <c r="J7" i="7" s="1"/>
  <c r="M7" i="7" s="1"/>
  <c r="H6" i="7"/>
  <c r="K6" i="7" s="1"/>
  <c r="G6" i="7"/>
  <c r="J6" i="7" s="1"/>
  <c r="M6" i="7" s="1"/>
  <c r="K19" i="6" l="1"/>
  <c r="N19" i="6" s="1"/>
  <c r="K51" i="6"/>
  <c r="N51" i="6" s="1"/>
  <c r="K63" i="6"/>
  <c r="N63" i="6" s="1"/>
  <c r="K46" i="6"/>
  <c r="N46" i="6" s="1"/>
  <c r="K109" i="6"/>
  <c r="N109" i="6" s="1"/>
  <c r="K138" i="6"/>
  <c r="N138" i="6" s="1"/>
  <c r="K154" i="6"/>
  <c r="N154" i="6" s="1"/>
  <c r="K39" i="6"/>
  <c r="N39" i="6" s="1"/>
  <c r="K118" i="6"/>
  <c r="N118" i="6" s="1"/>
  <c r="K86" i="6"/>
  <c r="N86" i="6" s="1"/>
  <c r="K180" i="6"/>
  <c r="N180" i="6" s="1"/>
  <c r="J126" i="6"/>
  <c r="M126" i="6" s="1"/>
  <c r="J161" i="6"/>
  <c r="M161" i="6" s="1"/>
  <c r="J129" i="6"/>
  <c r="M129" i="6" s="1"/>
  <c r="J85" i="6"/>
  <c r="M85" i="6" s="1"/>
  <c r="J89" i="6"/>
  <c r="M89" i="6" s="1"/>
  <c r="J93" i="6"/>
  <c r="M93" i="6" s="1"/>
  <c r="J97" i="6"/>
  <c r="M97" i="6" s="1"/>
  <c r="J179" i="6"/>
  <c r="M179" i="6" s="1"/>
  <c r="J176" i="6"/>
  <c r="M176" i="6" s="1"/>
  <c r="G8" i="6"/>
  <c r="J8" i="6" s="1"/>
  <c r="M8" i="6" s="1"/>
  <c r="H8" i="6"/>
  <c r="K8" i="6" s="1"/>
  <c r="N8" i="6" s="1"/>
  <c r="G9" i="6"/>
  <c r="J9" i="6" s="1"/>
  <c r="M9" i="6" s="1"/>
  <c r="H9" i="6"/>
  <c r="K9" i="6" s="1"/>
  <c r="N9" i="6" s="1"/>
  <c r="G21" i="6"/>
  <c r="J21" i="6" s="1"/>
  <c r="M21" i="6" s="1"/>
  <c r="H21" i="6"/>
  <c r="K21" i="6" s="1"/>
  <c r="N21" i="6" s="1"/>
  <c r="G10" i="6"/>
  <c r="J10" i="6" s="1"/>
  <c r="M10" i="6" s="1"/>
  <c r="H10" i="6"/>
  <c r="K10" i="6" s="1"/>
  <c r="N10" i="6" s="1"/>
  <c r="G11" i="6"/>
  <c r="J11" i="6" s="1"/>
  <c r="M11" i="6" s="1"/>
  <c r="H11" i="6"/>
  <c r="K11" i="6" s="1"/>
  <c r="N11" i="6" s="1"/>
  <c r="G12" i="6"/>
  <c r="J12" i="6" s="1"/>
  <c r="M12" i="6" s="1"/>
  <c r="H12" i="6"/>
  <c r="K12" i="6" s="1"/>
  <c r="N12" i="6" s="1"/>
  <c r="G13" i="6"/>
  <c r="J13" i="6" s="1"/>
  <c r="M13" i="6" s="1"/>
  <c r="H13" i="6"/>
  <c r="K13" i="6" s="1"/>
  <c r="N13" i="6" s="1"/>
  <c r="G14" i="6"/>
  <c r="J14" i="6" s="1"/>
  <c r="M14" i="6" s="1"/>
  <c r="H14" i="6"/>
  <c r="K14" i="6" s="1"/>
  <c r="N14" i="6" s="1"/>
  <c r="G15" i="6"/>
  <c r="J15" i="6" s="1"/>
  <c r="M15" i="6" s="1"/>
  <c r="H15" i="6"/>
  <c r="K15" i="6" s="1"/>
  <c r="N15" i="6" s="1"/>
  <c r="G16" i="6"/>
  <c r="J16" i="6" s="1"/>
  <c r="M16" i="6" s="1"/>
  <c r="H16" i="6"/>
  <c r="K16" i="6" s="1"/>
  <c r="N16" i="6" s="1"/>
  <c r="G30" i="6"/>
  <c r="J30" i="6" s="1"/>
  <c r="M30" i="6" s="1"/>
  <c r="H30" i="6"/>
  <c r="K30" i="6" s="1"/>
  <c r="N30" i="6" s="1"/>
  <c r="G25" i="6"/>
  <c r="J25" i="6" s="1"/>
  <c r="M25" i="6" s="1"/>
  <c r="H25" i="6"/>
  <c r="K25" i="6" s="1"/>
  <c r="N25" i="6" s="1"/>
  <c r="G17" i="6"/>
  <c r="J17" i="6" s="1"/>
  <c r="M17" i="6" s="1"/>
  <c r="H17" i="6"/>
  <c r="K17" i="6" s="1"/>
  <c r="N17" i="6" s="1"/>
  <c r="G18" i="6"/>
  <c r="J18" i="6" s="1"/>
  <c r="M18" i="6" s="1"/>
  <c r="H18" i="6"/>
  <c r="K18" i="6" s="1"/>
  <c r="N18" i="6" s="1"/>
  <c r="G22" i="6"/>
  <c r="J22" i="6" s="1"/>
  <c r="M22" i="6" s="1"/>
  <c r="H22" i="6"/>
  <c r="K22" i="6" s="1"/>
  <c r="N22" i="6" s="1"/>
  <c r="G19" i="6"/>
  <c r="J19" i="6" s="1"/>
  <c r="M19" i="6" s="1"/>
  <c r="H19" i="6"/>
  <c r="G20" i="6"/>
  <c r="J20" i="6" s="1"/>
  <c r="M20" i="6" s="1"/>
  <c r="H20" i="6"/>
  <c r="K20" i="6" s="1"/>
  <c r="N20" i="6" s="1"/>
  <c r="G5" i="6"/>
  <c r="J5" i="6" s="1"/>
  <c r="M5" i="6" s="1"/>
  <c r="H5" i="6"/>
  <c r="K5" i="6" s="1"/>
  <c r="N5" i="6" s="1"/>
  <c r="G26" i="6"/>
  <c r="J26" i="6" s="1"/>
  <c r="M26" i="6" s="1"/>
  <c r="H26" i="6"/>
  <c r="K26" i="6" s="1"/>
  <c r="N26" i="6" s="1"/>
  <c r="G6" i="6"/>
  <c r="J6" i="6" s="1"/>
  <c r="M6" i="6" s="1"/>
  <c r="H6" i="6"/>
  <c r="K6" i="6" s="1"/>
  <c r="N6" i="6" s="1"/>
  <c r="G23" i="6"/>
  <c r="J23" i="6" s="1"/>
  <c r="M23" i="6" s="1"/>
  <c r="H23" i="6"/>
  <c r="K23" i="6" s="1"/>
  <c r="N23" i="6" s="1"/>
  <c r="G27" i="6"/>
  <c r="J27" i="6" s="1"/>
  <c r="M27" i="6" s="1"/>
  <c r="H27" i="6"/>
  <c r="K27" i="6" s="1"/>
  <c r="N27" i="6" s="1"/>
  <c r="G28" i="6"/>
  <c r="J28" i="6" s="1"/>
  <c r="M28" i="6" s="1"/>
  <c r="H28" i="6"/>
  <c r="K28" i="6" s="1"/>
  <c r="N28" i="6" s="1"/>
  <c r="G29" i="6"/>
  <c r="J29" i="6" s="1"/>
  <c r="M29" i="6" s="1"/>
  <c r="H29" i="6"/>
  <c r="K29" i="6" s="1"/>
  <c r="N29" i="6" s="1"/>
  <c r="G24" i="6"/>
  <c r="J24" i="6" s="1"/>
  <c r="M24" i="6" s="1"/>
  <c r="H24" i="6"/>
  <c r="K24" i="6" s="1"/>
  <c r="N24" i="6" s="1"/>
  <c r="G31" i="6"/>
  <c r="J31" i="6" s="1"/>
  <c r="M31" i="6" s="1"/>
  <c r="H31" i="6"/>
  <c r="K31" i="6" s="1"/>
  <c r="N31" i="6" s="1"/>
  <c r="G34" i="6"/>
  <c r="J34" i="6" s="1"/>
  <c r="M34" i="6" s="1"/>
  <c r="H34" i="6"/>
  <c r="K34" i="6" s="1"/>
  <c r="N34" i="6" s="1"/>
  <c r="G35" i="6"/>
  <c r="J35" i="6" s="1"/>
  <c r="M35" i="6" s="1"/>
  <c r="H35" i="6"/>
  <c r="K35" i="6" s="1"/>
  <c r="N35" i="6" s="1"/>
  <c r="G65" i="6"/>
  <c r="J65" i="6" s="1"/>
  <c r="M65" i="6" s="1"/>
  <c r="H65" i="6"/>
  <c r="K65" i="6" s="1"/>
  <c r="N65" i="6" s="1"/>
  <c r="G49" i="6"/>
  <c r="J49" i="6" s="1"/>
  <c r="M49" i="6" s="1"/>
  <c r="H49" i="6"/>
  <c r="K49" i="6" s="1"/>
  <c r="N49" i="6" s="1"/>
  <c r="G50" i="6"/>
  <c r="J50" i="6" s="1"/>
  <c r="M50" i="6" s="1"/>
  <c r="H50" i="6"/>
  <c r="K50" i="6" s="1"/>
  <c r="N50" i="6" s="1"/>
  <c r="G51" i="6"/>
  <c r="J51" i="6" s="1"/>
  <c r="M51" i="6" s="1"/>
  <c r="H51" i="6"/>
  <c r="G66" i="6"/>
  <c r="J66" i="6" s="1"/>
  <c r="M66" i="6" s="1"/>
  <c r="H66" i="6"/>
  <c r="K66" i="6" s="1"/>
  <c r="N66" i="6" s="1"/>
  <c r="G67" i="6"/>
  <c r="J67" i="6" s="1"/>
  <c r="M67" i="6" s="1"/>
  <c r="H67" i="6"/>
  <c r="K67" i="6" s="1"/>
  <c r="N67" i="6" s="1"/>
  <c r="G68" i="6"/>
  <c r="J68" i="6" s="1"/>
  <c r="M68" i="6" s="1"/>
  <c r="H68" i="6"/>
  <c r="K68" i="6" s="1"/>
  <c r="N68" i="6" s="1"/>
  <c r="G69" i="6"/>
  <c r="J69" i="6" s="1"/>
  <c r="M69" i="6" s="1"/>
  <c r="H69" i="6"/>
  <c r="K69" i="6" s="1"/>
  <c r="N69" i="6" s="1"/>
  <c r="G52" i="6"/>
  <c r="J52" i="6" s="1"/>
  <c r="M52" i="6" s="1"/>
  <c r="H52" i="6"/>
  <c r="K52" i="6" s="1"/>
  <c r="N52" i="6" s="1"/>
  <c r="G53" i="6"/>
  <c r="J53" i="6" s="1"/>
  <c r="M53" i="6" s="1"/>
  <c r="H53" i="6"/>
  <c r="K53" i="6" s="1"/>
  <c r="N53" i="6" s="1"/>
  <c r="G54" i="6"/>
  <c r="J54" i="6" s="1"/>
  <c r="M54" i="6" s="1"/>
  <c r="H54" i="6"/>
  <c r="K54" i="6" s="1"/>
  <c r="N54" i="6" s="1"/>
  <c r="G55" i="6"/>
  <c r="J55" i="6" s="1"/>
  <c r="M55" i="6" s="1"/>
  <c r="H55" i="6"/>
  <c r="K55" i="6" s="1"/>
  <c r="N55" i="6" s="1"/>
  <c r="G56" i="6"/>
  <c r="J56" i="6" s="1"/>
  <c r="M56" i="6" s="1"/>
  <c r="H56" i="6"/>
  <c r="K56" i="6" s="1"/>
  <c r="N56" i="6" s="1"/>
  <c r="G57" i="6"/>
  <c r="J57" i="6" s="1"/>
  <c r="M57" i="6" s="1"/>
  <c r="H57" i="6"/>
  <c r="K57" i="6" s="1"/>
  <c r="N57" i="6" s="1"/>
  <c r="G58" i="6"/>
  <c r="J58" i="6" s="1"/>
  <c r="M58" i="6" s="1"/>
  <c r="H58" i="6"/>
  <c r="K58" i="6" s="1"/>
  <c r="N58" i="6" s="1"/>
  <c r="G59" i="6"/>
  <c r="J59" i="6" s="1"/>
  <c r="M59" i="6" s="1"/>
  <c r="H59" i="6"/>
  <c r="K59" i="6" s="1"/>
  <c r="N59" i="6" s="1"/>
  <c r="G60" i="6"/>
  <c r="J60" i="6" s="1"/>
  <c r="M60" i="6" s="1"/>
  <c r="H60" i="6"/>
  <c r="K60" i="6" s="1"/>
  <c r="N60" i="6" s="1"/>
  <c r="G61" i="6"/>
  <c r="J61" i="6" s="1"/>
  <c r="M61" i="6" s="1"/>
  <c r="H61" i="6"/>
  <c r="K61" i="6" s="1"/>
  <c r="N61" i="6" s="1"/>
  <c r="G62" i="6"/>
  <c r="J62" i="6" s="1"/>
  <c r="M62" i="6" s="1"/>
  <c r="H62" i="6"/>
  <c r="K62" i="6" s="1"/>
  <c r="N62" i="6" s="1"/>
  <c r="G63" i="6"/>
  <c r="J63" i="6" s="1"/>
  <c r="M63" i="6" s="1"/>
  <c r="H63" i="6"/>
  <c r="G64" i="6"/>
  <c r="J64" i="6" s="1"/>
  <c r="M64" i="6" s="1"/>
  <c r="H64" i="6"/>
  <c r="K64" i="6" s="1"/>
  <c r="N64" i="6" s="1"/>
  <c r="G70" i="6"/>
  <c r="J70" i="6" s="1"/>
  <c r="M70" i="6" s="1"/>
  <c r="H70" i="6"/>
  <c r="K70" i="6" s="1"/>
  <c r="N70" i="6" s="1"/>
  <c r="G71" i="6"/>
  <c r="J71" i="6" s="1"/>
  <c r="M71" i="6" s="1"/>
  <c r="H71" i="6"/>
  <c r="K71" i="6" s="1"/>
  <c r="N71" i="6" s="1"/>
  <c r="G72" i="6"/>
  <c r="J72" i="6" s="1"/>
  <c r="M72" i="6" s="1"/>
  <c r="H72" i="6"/>
  <c r="K72" i="6" s="1"/>
  <c r="N72" i="6" s="1"/>
  <c r="G73" i="6"/>
  <c r="J73" i="6" s="1"/>
  <c r="M73" i="6" s="1"/>
  <c r="H73" i="6"/>
  <c r="K73" i="6" s="1"/>
  <c r="N73" i="6" s="1"/>
  <c r="G74" i="6"/>
  <c r="J74" i="6" s="1"/>
  <c r="M74" i="6" s="1"/>
  <c r="H74" i="6"/>
  <c r="K74" i="6" s="1"/>
  <c r="N74" i="6" s="1"/>
  <c r="G75" i="6"/>
  <c r="J75" i="6" s="1"/>
  <c r="M75" i="6" s="1"/>
  <c r="H75" i="6"/>
  <c r="K75" i="6" s="1"/>
  <c r="N75" i="6" s="1"/>
  <c r="G76" i="6"/>
  <c r="J76" i="6" s="1"/>
  <c r="M76" i="6" s="1"/>
  <c r="H76" i="6"/>
  <c r="K76" i="6" s="1"/>
  <c r="N76" i="6" s="1"/>
  <c r="G77" i="6"/>
  <c r="J77" i="6" s="1"/>
  <c r="M77" i="6" s="1"/>
  <c r="H77" i="6"/>
  <c r="K77" i="6" s="1"/>
  <c r="N77" i="6" s="1"/>
  <c r="G78" i="6"/>
  <c r="J78" i="6" s="1"/>
  <c r="M78" i="6" s="1"/>
  <c r="H78" i="6"/>
  <c r="K78" i="6" s="1"/>
  <c r="N78" i="6" s="1"/>
  <c r="G41" i="6"/>
  <c r="J41" i="6" s="1"/>
  <c r="M41" i="6" s="1"/>
  <c r="H41" i="6"/>
  <c r="K41" i="6" s="1"/>
  <c r="N41" i="6" s="1"/>
  <c r="G42" i="6"/>
  <c r="J42" i="6" s="1"/>
  <c r="M42" i="6" s="1"/>
  <c r="H42" i="6"/>
  <c r="K42" i="6" s="1"/>
  <c r="N42" i="6" s="1"/>
  <c r="G43" i="6"/>
  <c r="J43" i="6" s="1"/>
  <c r="M43" i="6" s="1"/>
  <c r="H43" i="6"/>
  <c r="K43" i="6" s="1"/>
  <c r="N43" i="6" s="1"/>
  <c r="G44" i="6"/>
  <c r="J44" i="6" s="1"/>
  <c r="M44" i="6" s="1"/>
  <c r="H44" i="6"/>
  <c r="K44" i="6" s="1"/>
  <c r="N44" i="6" s="1"/>
  <c r="G45" i="6"/>
  <c r="J45" i="6" s="1"/>
  <c r="M45" i="6" s="1"/>
  <c r="H45" i="6"/>
  <c r="K45" i="6" s="1"/>
  <c r="N45" i="6" s="1"/>
  <c r="G46" i="6"/>
  <c r="J46" i="6" s="1"/>
  <c r="M46" i="6" s="1"/>
  <c r="H46" i="6"/>
  <c r="G47" i="6"/>
  <c r="J47" i="6" s="1"/>
  <c r="M47" i="6" s="1"/>
  <c r="H47" i="6"/>
  <c r="K47" i="6" s="1"/>
  <c r="N47" i="6" s="1"/>
  <c r="G112" i="6"/>
  <c r="J112" i="6" s="1"/>
  <c r="M112" i="6" s="1"/>
  <c r="H112" i="6"/>
  <c r="K112" i="6" s="1"/>
  <c r="N112" i="6" s="1"/>
  <c r="G113" i="6"/>
  <c r="J113" i="6" s="1"/>
  <c r="M113" i="6" s="1"/>
  <c r="H113" i="6"/>
  <c r="K113" i="6" s="1"/>
  <c r="N113" i="6" s="1"/>
  <c r="G105" i="6"/>
  <c r="J105" i="6" s="1"/>
  <c r="M105" i="6" s="1"/>
  <c r="H105" i="6"/>
  <c r="K105" i="6" s="1"/>
  <c r="N105" i="6" s="1"/>
  <c r="G106" i="6"/>
  <c r="J106" i="6" s="1"/>
  <c r="M106" i="6" s="1"/>
  <c r="H106" i="6"/>
  <c r="K106" i="6" s="1"/>
  <c r="N106" i="6" s="1"/>
  <c r="G107" i="6"/>
  <c r="J107" i="6" s="1"/>
  <c r="M107" i="6" s="1"/>
  <c r="H107" i="6"/>
  <c r="K107" i="6" s="1"/>
  <c r="N107" i="6" s="1"/>
  <c r="G108" i="6"/>
  <c r="J108" i="6" s="1"/>
  <c r="M108" i="6" s="1"/>
  <c r="H108" i="6"/>
  <c r="K108" i="6" s="1"/>
  <c r="N108" i="6" s="1"/>
  <c r="G119" i="6"/>
  <c r="J119" i="6" s="1"/>
  <c r="M119" i="6" s="1"/>
  <c r="H119" i="6"/>
  <c r="K119" i="6" s="1"/>
  <c r="N119" i="6" s="1"/>
  <c r="G120" i="6"/>
  <c r="J120" i="6" s="1"/>
  <c r="M120" i="6" s="1"/>
  <c r="H120" i="6"/>
  <c r="K120" i="6" s="1"/>
  <c r="N120" i="6" s="1"/>
  <c r="G98" i="6"/>
  <c r="J98" i="6" s="1"/>
  <c r="M98" i="6" s="1"/>
  <c r="H98" i="6"/>
  <c r="K98" i="6" s="1"/>
  <c r="N98" i="6" s="1"/>
  <c r="G99" i="6"/>
  <c r="J99" i="6" s="1"/>
  <c r="M99" i="6" s="1"/>
  <c r="H99" i="6"/>
  <c r="K99" i="6" s="1"/>
  <c r="N99" i="6" s="1"/>
  <c r="G48" i="6"/>
  <c r="J48" i="6" s="1"/>
  <c r="M48" i="6" s="1"/>
  <c r="H48" i="6"/>
  <c r="K48" i="6" s="1"/>
  <c r="N48" i="6" s="1"/>
  <c r="G100" i="6"/>
  <c r="J100" i="6" s="1"/>
  <c r="M100" i="6" s="1"/>
  <c r="H100" i="6"/>
  <c r="K100" i="6" s="1"/>
  <c r="N100" i="6" s="1"/>
  <c r="G101" i="6"/>
  <c r="J101" i="6" s="1"/>
  <c r="M101" i="6" s="1"/>
  <c r="H101" i="6"/>
  <c r="K101" i="6" s="1"/>
  <c r="N101" i="6" s="1"/>
  <c r="G102" i="6"/>
  <c r="J102" i="6" s="1"/>
  <c r="M102" i="6" s="1"/>
  <c r="H102" i="6"/>
  <c r="K102" i="6" s="1"/>
  <c r="N102" i="6" s="1"/>
  <c r="G109" i="6"/>
  <c r="J109" i="6" s="1"/>
  <c r="M109" i="6" s="1"/>
  <c r="H109" i="6"/>
  <c r="G110" i="6"/>
  <c r="J110" i="6" s="1"/>
  <c r="M110" i="6" s="1"/>
  <c r="H110" i="6"/>
  <c r="K110" i="6" s="1"/>
  <c r="N110" i="6" s="1"/>
  <c r="G111" i="6"/>
  <c r="J111" i="6" s="1"/>
  <c r="M111" i="6" s="1"/>
  <c r="H111" i="6"/>
  <c r="K111" i="6" s="1"/>
  <c r="N111" i="6" s="1"/>
  <c r="G32" i="6"/>
  <c r="J32" i="6" s="1"/>
  <c r="M32" i="6" s="1"/>
  <c r="H32" i="6"/>
  <c r="K32" i="6" s="1"/>
  <c r="N32" i="6" s="1"/>
  <c r="G33" i="6"/>
  <c r="J33" i="6" s="1"/>
  <c r="M33" i="6" s="1"/>
  <c r="H33" i="6"/>
  <c r="K33" i="6" s="1"/>
  <c r="N33" i="6" s="1"/>
  <c r="G103" i="6"/>
  <c r="J103" i="6" s="1"/>
  <c r="M103" i="6" s="1"/>
  <c r="H103" i="6"/>
  <c r="K103" i="6" s="1"/>
  <c r="N103" i="6" s="1"/>
  <c r="G104" i="6"/>
  <c r="J104" i="6" s="1"/>
  <c r="M104" i="6" s="1"/>
  <c r="H104" i="6"/>
  <c r="K104" i="6" s="1"/>
  <c r="N104" i="6" s="1"/>
  <c r="G84" i="6"/>
  <c r="J84" i="6" s="1"/>
  <c r="M84" i="6" s="1"/>
  <c r="H84" i="6"/>
  <c r="K84" i="6" s="1"/>
  <c r="N84" i="6" s="1"/>
  <c r="G36" i="6"/>
  <c r="J36" i="6" s="1"/>
  <c r="M36" i="6" s="1"/>
  <c r="H36" i="6"/>
  <c r="K36" i="6" s="1"/>
  <c r="N36" i="6" s="1"/>
  <c r="G37" i="6"/>
  <c r="J37" i="6" s="1"/>
  <c r="M37" i="6" s="1"/>
  <c r="H37" i="6"/>
  <c r="K37" i="6" s="1"/>
  <c r="N37" i="6" s="1"/>
  <c r="G114" i="6"/>
  <c r="J114" i="6" s="1"/>
  <c r="M114" i="6" s="1"/>
  <c r="H114" i="6"/>
  <c r="K114" i="6" s="1"/>
  <c r="N114" i="6" s="1"/>
  <c r="G115" i="6"/>
  <c r="J115" i="6" s="1"/>
  <c r="M115" i="6" s="1"/>
  <c r="H115" i="6"/>
  <c r="K115" i="6" s="1"/>
  <c r="N115" i="6" s="1"/>
  <c r="G121" i="6"/>
  <c r="J121" i="6" s="1"/>
  <c r="M121" i="6" s="1"/>
  <c r="H121" i="6"/>
  <c r="K121" i="6" s="1"/>
  <c r="N121" i="6" s="1"/>
  <c r="G122" i="6"/>
  <c r="J122" i="6" s="1"/>
  <c r="M122" i="6" s="1"/>
  <c r="H122" i="6"/>
  <c r="K122" i="6" s="1"/>
  <c r="N122" i="6" s="1"/>
  <c r="G136" i="6"/>
  <c r="J136" i="6" s="1"/>
  <c r="M136" i="6" s="1"/>
  <c r="H136" i="6"/>
  <c r="K136" i="6" s="1"/>
  <c r="N136" i="6" s="1"/>
  <c r="G137" i="6"/>
  <c r="J137" i="6" s="1"/>
  <c r="M137" i="6" s="1"/>
  <c r="H137" i="6"/>
  <c r="K137" i="6" s="1"/>
  <c r="N137" i="6" s="1"/>
  <c r="G138" i="6"/>
  <c r="J138" i="6" s="1"/>
  <c r="M138" i="6" s="1"/>
  <c r="H138" i="6"/>
  <c r="G139" i="6"/>
  <c r="J139" i="6" s="1"/>
  <c r="M139" i="6" s="1"/>
  <c r="H139" i="6"/>
  <c r="K139" i="6" s="1"/>
  <c r="N139" i="6" s="1"/>
  <c r="G140" i="6"/>
  <c r="J140" i="6" s="1"/>
  <c r="M140" i="6" s="1"/>
  <c r="H140" i="6"/>
  <c r="K140" i="6" s="1"/>
  <c r="N140" i="6" s="1"/>
  <c r="G141" i="6"/>
  <c r="J141" i="6" s="1"/>
  <c r="M141" i="6" s="1"/>
  <c r="H141" i="6"/>
  <c r="K141" i="6" s="1"/>
  <c r="N141" i="6" s="1"/>
  <c r="G142" i="6"/>
  <c r="J142" i="6" s="1"/>
  <c r="M142" i="6" s="1"/>
  <c r="H142" i="6"/>
  <c r="K142" i="6" s="1"/>
  <c r="N142" i="6" s="1"/>
  <c r="G143" i="6"/>
  <c r="J143" i="6" s="1"/>
  <c r="M143" i="6" s="1"/>
  <c r="H143" i="6"/>
  <c r="K143" i="6" s="1"/>
  <c r="N143" i="6" s="1"/>
  <c r="G144" i="6"/>
  <c r="J144" i="6" s="1"/>
  <c r="M144" i="6" s="1"/>
  <c r="H144" i="6"/>
  <c r="K144" i="6" s="1"/>
  <c r="N144" i="6" s="1"/>
  <c r="G145" i="6"/>
  <c r="J145" i="6" s="1"/>
  <c r="M145" i="6" s="1"/>
  <c r="H145" i="6"/>
  <c r="K145" i="6" s="1"/>
  <c r="N145" i="6" s="1"/>
  <c r="G146" i="6"/>
  <c r="J146" i="6" s="1"/>
  <c r="M146" i="6" s="1"/>
  <c r="H146" i="6"/>
  <c r="K146" i="6" s="1"/>
  <c r="N146" i="6" s="1"/>
  <c r="G147" i="6"/>
  <c r="J147" i="6" s="1"/>
  <c r="M147" i="6" s="1"/>
  <c r="H147" i="6"/>
  <c r="K147" i="6" s="1"/>
  <c r="N147" i="6" s="1"/>
  <c r="G148" i="6"/>
  <c r="J148" i="6" s="1"/>
  <c r="M148" i="6" s="1"/>
  <c r="H148" i="6"/>
  <c r="K148" i="6" s="1"/>
  <c r="N148" i="6" s="1"/>
  <c r="G149" i="6"/>
  <c r="J149" i="6" s="1"/>
  <c r="M149" i="6" s="1"/>
  <c r="H149" i="6"/>
  <c r="K149" i="6" s="1"/>
  <c r="N149" i="6" s="1"/>
  <c r="G150" i="6"/>
  <c r="J150" i="6" s="1"/>
  <c r="M150" i="6" s="1"/>
  <c r="H150" i="6"/>
  <c r="K150" i="6" s="1"/>
  <c r="N150" i="6" s="1"/>
  <c r="G151" i="6"/>
  <c r="J151" i="6" s="1"/>
  <c r="M151" i="6" s="1"/>
  <c r="H151" i="6"/>
  <c r="K151" i="6" s="1"/>
  <c r="N151" i="6" s="1"/>
  <c r="G152" i="6"/>
  <c r="J152" i="6" s="1"/>
  <c r="M152" i="6" s="1"/>
  <c r="H152" i="6"/>
  <c r="K152" i="6" s="1"/>
  <c r="N152" i="6" s="1"/>
  <c r="G153" i="6"/>
  <c r="J153" i="6" s="1"/>
  <c r="M153" i="6" s="1"/>
  <c r="H153" i="6"/>
  <c r="K153" i="6" s="1"/>
  <c r="N153" i="6" s="1"/>
  <c r="G154" i="6"/>
  <c r="J154" i="6" s="1"/>
  <c r="M154" i="6" s="1"/>
  <c r="H154" i="6"/>
  <c r="G155" i="6"/>
  <c r="J155" i="6" s="1"/>
  <c r="M155" i="6" s="1"/>
  <c r="H155" i="6"/>
  <c r="K155" i="6" s="1"/>
  <c r="N155" i="6" s="1"/>
  <c r="G156" i="6"/>
  <c r="J156" i="6" s="1"/>
  <c r="M156" i="6" s="1"/>
  <c r="H156" i="6"/>
  <c r="K156" i="6" s="1"/>
  <c r="N156" i="6" s="1"/>
  <c r="G157" i="6"/>
  <c r="J157" i="6" s="1"/>
  <c r="M157" i="6" s="1"/>
  <c r="H157" i="6"/>
  <c r="K157" i="6" s="1"/>
  <c r="N157" i="6" s="1"/>
  <c r="G162" i="6"/>
  <c r="J162" i="6" s="1"/>
  <c r="M162" i="6" s="1"/>
  <c r="H162" i="6"/>
  <c r="K162" i="6" s="1"/>
  <c r="N162" i="6" s="1"/>
  <c r="G163" i="6"/>
  <c r="J163" i="6" s="1"/>
  <c r="M163" i="6" s="1"/>
  <c r="H163" i="6"/>
  <c r="K163" i="6" s="1"/>
  <c r="N163" i="6" s="1"/>
  <c r="G164" i="6"/>
  <c r="J164" i="6" s="1"/>
  <c r="M164" i="6" s="1"/>
  <c r="H164" i="6"/>
  <c r="K164" i="6" s="1"/>
  <c r="N164" i="6" s="1"/>
  <c r="G165" i="6"/>
  <c r="J165" i="6" s="1"/>
  <c r="M165" i="6" s="1"/>
  <c r="H165" i="6"/>
  <c r="K165" i="6" s="1"/>
  <c r="N165" i="6" s="1"/>
  <c r="G134" i="6"/>
  <c r="J134" i="6" s="1"/>
  <c r="M134" i="6" s="1"/>
  <c r="H134" i="6"/>
  <c r="K134" i="6" s="1"/>
  <c r="N134" i="6" s="1"/>
  <c r="G135" i="6"/>
  <c r="J135" i="6" s="1"/>
  <c r="M135" i="6" s="1"/>
  <c r="H135" i="6"/>
  <c r="K135" i="6" s="1"/>
  <c r="N135" i="6" s="1"/>
  <c r="G79" i="6"/>
  <c r="J79" i="6" s="1"/>
  <c r="M79" i="6" s="1"/>
  <c r="H79" i="6"/>
  <c r="K79" i="6" s="1"/>
  <c r="N79" i="6" s="1"/>
  <c r="G80" i="6"/>
  <c r="J80" i="6" s="1"/>
  <c r="M80" i="6" s="1"/>
  <c r="H80" i="6"/>
  <c r="K80" i="6" s="1"/>
  <c r="N80" i="6" s="1"/>
  <c r="G81" i="6"/>
  <c r="J81" i="6" s="1"/>
  <c r="M81" i="6" s="1"/>
  <c r="H81" i="6"/>
  <c r="K81" i="6" s="1"/>
  <c r="N81" i="6" s="1"/>
  <c r="G82" i="6"/>
  <c r="J82" i="6" s="1"/>
  <c r="M82" i="6" s="1"/>
  <c r="H82" i="6"/>
  <c r="K82" i="6" s="1"/>
  <c r="N82" i="6" s="1"/>
  <c r="G83" i="6"/>
  <c r="J83" i="6" s="1"/>
  <c r="M83" i="6" s="1"/>
  <c r="H83" i="6"/>
  <c r="K83" i="6" s="1"/>
  <c r="N83" i="6" s="1"/>
  <c r="G38" i="6"/>
  <c r="J38" i="6" s="1"/>
  <c r="M38" i="6" s="1"/>
  <c r="H38" i="6"/>
  <c r="K38" i="6" s="1"/>
  <c r="N38" i="6" s="1"/>
  <c r="G39" i="6"/>
  <c r="J39" i="6" s="1"/>
  <c r="M39" i="6" s="1"/>
  <c r="H39" i="6"/>
  <c r="G40" i="6"/>
  <c r="J40" i="6" s="1"/>
  <c r="M40" i="6" s="1"/>
  <c r="H40" i="6"/>
  <c r="K40" i="6" s="1"/>
  <c r="N40" i="6" s="1"/>
  <c r="G131" i="6"/>
  <c r="J131" i="6" s="1"/>
  <c r="M131" i="6" s="1"/>
  <c r="H131" i="6"/>
  <c r="K131" i="6" s="1"/>
  <c r="N131" i="6" s="1"/>
  <c r="G132" i="6"/>
  <c r="J132" i="6" s="1"/>
  <c r="M132" i="6" s="1"/>
  <c r="H132" i="6"/>
  <c r="K132" i="6" s="1"/>
  <c r="N132" i="6" s="1"/>
  <c r="G123" i="6"/>
  <c r="J123" i="6" s="1"/>
  <c r="M123" i="6" s="1"/>
  <c r="H123" i="6"/>
  <c r="K123" i="6" s="1"/>
  <c r="N123" i="6" s="1"/>
  <c r="G124" i="6"/>
  <c r="J124" i="6" s="1"/>
  <c r="M124" i="6" s="1"/>
  <c r="H124" i="6"/>
  <c r="K124" i="6" s="1"/>
  <c r="N124" i="6" s="1"/>
  <c r="G125" i="6"/>
  <c r="J125" i="6" s="1"/>
  <c r="M125" i="6" s="1"/>
  <c r="H125" i="6"/>
  <c r="K125" i="6" s="1"/>
  <c r="N125" i="6" s="1"/>
  <c r="G126" i="6"/>
  <c r="H126" i="6"/>
  <c r="K126" i="6" s="1"/>
  <c r="N126" i="6" s="1"/>
  <c r="G4" i="6"/>
  <c r="J4" i="6" s="1"/>
  <c r="M4" i="6" s="1"/>
  <c r="H4" i="6"/>
  <c r="K4" i="6" s="1"/>
  <c r="N4" i="6" s="1"/>
  <c r="G167" i="6"/>
  <c r="J167" i="6" s="1"/>
  <c r="M167" i="6" s="1"/>
  <c r="H167" i="6"/>
  <c r="K167" i="6" s="1"/>
  <c r="N167" i="6" s="1"/>
  <c r="G168" i="6"/>
  <c r="J168" i="6" s="1"/>
  <c r="M168" i="6" s="1"/>
  <c r="H168" i="6"/>
  <c r="K168" i="6" s="1"/>
  <c r="N168" i="6" s="1"/>
  <c r="G169" i="6"/>
  <c r="J169" i="6" s="1"/>
  <c r="M169" i="6" s="1"/>
  <c r="H169" i="6"/>
  <c r="K169" i="6" s="1"/>
  <c r="N169" i="6" s="1"/>
  <c r="G166" i="6"/>
  <c r="J166" i="6" s="1"/>
  <c r="M166" i="6" s="1"/>
  <c r="H166" i="6"/>
  <c r="K166" i="6" s="1"/>
  <c r="N166" i="6" s="1"/>
  <c r="G133" i="6"/>
  <c r="J133" i="6" s="1"/>
  <c r="M133" i="6" s="1"/>
  <c r="H133" i="6"/>
  <c r="K133" i="6" s="1"/>
  <c r="N133" i="6" s="1"/>
  <c r="G160" i="6"/>
  <c r="J160" i="6" s="1"/>
  <c r="M160" i="6" s="1"/>
  <c r="H160" i="6"/>
  <c r="K160" i="6" s="1"/>
  <c r="N160" i="6" s="1"/>
  <c r="G161" i="6"/>
  <c r="H161" i="6"/>
  <c r="K161" i="6" s="1"/>
  <c r="N161" i="6" s="1"/>
  <c r="G118" i="6"/>
  <c r="J118" i="6" s="1"/>
  <c r="M118" i="6" s="1"/>
  <c r="H118" i="6"/>
  <c r="G116" i="6"/>
  <c r="J116" i="6" s="1"/>
  <c r="M116" i="6" s="1"/>
  <c r="H116" i="6"/>
  <c r="K116" i="6" s="1"/>
  <c r="N116" i="6" s="1"/>
  <c r="G117" i="6"/>
  <c r="J117" i="6" s="1"/>
  <c r="M117" i="6" s="1"/>
  <c r="H117" i="6"/>
  <c r="K117" i="6" s="1"/>
  <c r="N117" i="6" s="1"/>
  <c r="G158" i="6"/>
  <c r="J158" i="6" s="1"/>
  <c r="M158" i="6" s="1"/>
  <c r="H158" i="6"/>
  <c r="K158" i="6" s="1"/>
  <c r="N158" i="6" s="1"/>
  <c r="G159" i="6"/>
  <c r="J159" i="6" s="1"/>
  <c r="M159" i="6" s="1"/>
  <c r="H159" i="6"/>
  <c r="K159" i="6" s="1"/>
  <c r="N159" i="6" s="1"/>
  <c r="G127" i="6"/>
  <c r="J127" i="6" s="1"/>
  <c r="M127" i="6" s="1"/>
  <c r="H127" i="6"/>
  <c r="K127" i="6" s="1"/>
  <c r="N127" i="6" s="1"/>
  <c r="G128" i="6"/>
  <c r="J128" i="6" s="1"/>
  <c r="M128" i="6" s="1"/>
  <c r="H128" i="6"/>
  <c r="K128" i="6" s="1"/>
  <c r="N128" i="6" s="1"/>
  <c r="G129" i="6"/>
  <c r="H129" i="6"/>
  <c r="K129" i="6" s="1"/>
  <c r="N129" i="6" s="1"/>
  <c r="G130" i="6"/>
  <c r="J130" i="6" s="1"/>
  <c r="M130" i="6" s="1"/>
  <c r="H130" i="6"/>
  <c r="K130" i="6" s="1"/>
  <c r="N130" i="6" s="1"/>
  <c r="G178" i="6"/>
  <c r="J178" i="6" s="1"/>
  <c r="M178" i="6" s="1"/>
  <c r="H178" i="6"/>
  <c r="K178" i="6" s="1"/>
  <c r="N178" i="6" s="1"/>
  <c r="G173" i="6"/>
  <c r="J173" i="6" s="1"/>
  <c r="M173" i="6" s="1"/>
  <c r="H173" i="6"/>
  <c r="K173" i="6" s="1"/>
  <c r="N173" i="6" s="1"/>
  <c r="G174" i="6"/>
  <c r="J174" i="6" s="1"/>
  <c r="M174" i="6" s="1"/>
  <c r="H174" i="6"/>
  <c r="K174" i="6" s="1"/>
  <c r="N174" i="6" s="1"/>
  <c r="G182" i="6"/>
  <c r="J182" i="6" s="1"/>
  <c r="M182" i="6" s="1"/>
  <c r="H182" i="6"/>
  <c r="K182" i="6" s="1"/>
  <c r="N182" i="6" s="1"/>
  <c r="G183" i="6"/>
  <c r="J183" i="6" s="1"/>
  <c r="M183" i="6" s="1"/>
  <c r="H183" i="6"/>
  <c r="K183" i="6" s="1"/>
  <c r="N183" i="6" s="1"/>
  <c r="G184" i="6"/>
  <c r="J184" i="6" s="1"/>
  <c r="M184" i="6" s="1"/>
  <c r="H184" i="6"/>
  <c r="K184" i="6" s="1"/>
  <c r="N184" i="6" s="1"/>
  <c r="G85" i="6"/>
  <c r="H85" i="6"/>
  <c r="K85" i="6" s="1"/>
  <c r="N85" i="6" s="1"/>
  <c r="G86" i="6"/>
  <c r="J86" i="6" s="1"/>
  <c r="M86" i="6" s="1"/>
  <c r="H86" i="6"/>
  <c r="G87" i="6"/>
  <c r="J87" i="6" s="1"/>
  <c r="M87" i="6" s="1"/>
  <c r="H87" i="6"/>
  <c r="K87" i="6" s="1"/>
  <c r="N87" i="6" s="1"/>
  <c r="G88" i="6"/>
  <c r="J88" i="6" s="1"/>
  <c r="M88" i="6" s="1"/>
  <c r="H88" i="6"/>
  <c r="K88" i="6" s="1"/>
  <c r="N88" i="6" s="1"/>
  <c r="G89" i="6"/>
  <c r="H89" i="6"/>
  <c r="K89" i="6" s="1"/>
  <c r="N89" i="6" s="1"/>
  <c r="G90" i="6"/>
  <c r="J90" i="6" s="1"/>
  <c r="M90" i="6" s="1"/>
  <c r="H90" i="6"/>
  <c r="K90" i="6" s="1"/>
  <c r="N90" i="6" s="1"/>
  <c r="G91" i="6"/>
  <c r="J91" i="6" s="1"/>
  <c r="M91" i="6" s="1"/>
  <c r="H91" i="6"/>
  <c r="K91" i="6" s="1"/>
  <c r="N91" i="6" s="1"/>
  <c r="G92" i="6"/>
  <c r="J92" i="6" s="1"/>
  <c r="M92" i="6" s="1"/>
  <c r="H92" i="6"/>
  <c r="K92" i="6" s="1"/>
  <c r="N92" i="6" s="1"/>
  <c r="G93" i="6"/>
  <c r="H93" i="6"/>
  <c r="K93" i="6" s="1"/>
  <c r="N93" i="6" s="1"/>
  <c r="G94" i="6"/>
  <c r="J94" i="6" s="1"/>
  <c r="M94" i="6" s="1"/>
  <c r="H94" i="6"/>
  <c r="K94" i="6" s="1"/>
  <c r="N94" i="6" s="1"/>
  <c r="G95" i="6"/>
  <c r="J95" i="6" s="1"/>
  <c r="M95" i="6" s="1"/>
  <c r="H95" i="6"/>
  <c r="K95" i="6" s="1"/>
  <c r="N95" i="6" s="1"/>
  <c r="G96" i="6"/>
  <c r="J96" i="6" s="1"/>
  <c r="M96" i="6" s="1"/>
  <c r="H96" i="6"/>
  <c r="K96" i="6" s="1"/>
  <c r="N96" i="6" s="1"/>
  <c r="G97" i="6"/>
  <c r="H97" i="6"/>
  <c r="K97" i="6" s="1"/>
  <c r="N97" i="6" s="1"/>
  <c r="G170" i="6"/>
  <c r="J170" i="6" s="1"/>
  <c r="M170" i="6" s="1"/>
  <c r="H170" i="6"/>
  <c r="K170" i="6" s="1"/>
  <c r="N170" i="6" s="1"/>
  <c r="G171" i="6"/>
  <c r="J171" i="6" s="1"/>
  <c r="M171" i="6" s="1"/>
  <c r="H171" i="6"/>
  <c r="K171" i="6" s="1"/>
  <c r="N171" i="6" s="1"/>
  <c r="G172" i="6"/>
  <c r="J172" i="6" s="1"/>
  <c r="M172" i="6" s="1"/>
  <c r="H172" i="6"/>
  <c r="K172" i="6" s="1"/>
  <c r="N172" i="6" s="1"/>
  <c r="G179" i="6"/>
  <c r="H179" i="6"/>
  <c r="K179" i="6" s="1"/>
  <c r="N179" i="6" s="1"/>
  <c r="G180" i="6"/>
  <c r="J180" i="6" s="1"/>
  <c r="M180" i="6" s="1"/>
  <c r="H180" i="6"/>
  <c r="G181" i="6"/>
  <c r="J181" i="6" s="1"/>
  <c r="M181" i="6" s="1"/>
  <c r="H181" i="6"/>
  <c r="K181" i="6" s="1"/>
  <c r="N181" i="6" s="1"/>
  <c r="G175" i="6"/>
  <c r="J175" i="6" s="1"/>
  <c r="M175" i="6" s="1"/>
  <c r="H175" i="6"/>
  <c r="K175" i="6" s="1"/>
  <c r="N175" i="6" s="1"/>
  <c r="G176" i="6"/>
  <c r="H176" i="6"/>
  <c r="K176" i="6" s="1"/>
  <c r="N176" i="6" s="1"/>
  <c r="G177" i="6"/>
  <c r="J177" i="6" s="1"/>
  <c r="M177" i="6" s="1"/>
  <c r="H177" i="6"/>
  <c r="K177" i="6" s="1"/>
  <c r="N177" i="6" s="1"/>
  <c r="H7" i="6"/>
  <c r="K7" i="6" s="1"/>
  <c r="N7" i="6" s="1"/>
  <c r="G7" i="6"/>
  <c r="J7" i="6" s="1"/>
  <c r="M7" i="6" s="1"/>
</calcChain>
</file>

<file path=xl/sharedStrings.xml><?xml version="1.0" encoding="utf-8"?>
<sst xmlns="http://schemas.openxmlformats.org/spreadsheetml/2006/main" count="144" uniqueCount="25">
  <si>
    <t xml:space="preserve">actual </t>
  </si>
  <si>
    <t>actual</t>
  </si>
  <si>
    <t>in program</t>
  </si>
  <si>
    <t>required</t>
  </si>
  <si>
    <t>lowest</t>
  </si>
  <si>
    <t>highest</t>
  </si>
  <si>
    <t>inlet value</t>
  </si>
  <si>
    <t>outlet value</t>
  </si>
  <si>
    <t>width</t>
  </si>
  <si>
    <t>thickness</t>
  </si>
  <si>
    <t>Inlet</t>
  </si>
  <si>
    <t>Outlet</t>
  </si>
  <si>
    <t>material</t>
  </si>
  <si>
    <t>XY</t>
  </si>
  <si>
    <t>INLET</t>
  </si>
  <si>
    <t>OUTLET</t>
  </si>
  <si>
    <t>INLET FORCE</t>
  </si>
  <si>
    <t>OUTLET FORCE</t>
  </si>
  <si>
    <t>Z INLET</t>
  </si>
  <si>
    <t>Z OUTLET</t>
  </si>
  <si>
    <t>[N]</t>
  </si>
  <si>
    <t>[KN]</t>
  </si>
  <si>
    <t>tool from 1030</t>
  </si>
  <si>
    <t>jfgjgh</t>
  </si>
  <si>
    <t>hgfhffg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</si>
</sst>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6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1" fillId="0" borderId="1" xfId="0" applyFont="1" applyBorder="1"/>
    <xf numFmtId="0" fontId="3" fillId="5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0" fontId="2" fillId="4" borderId="1" xfId="0" applyFont="1" applyFill="1" applyBorder="1"/>
    <xf numFmtId="0" fontId="2" fillId="5" borderId="0" xfId="0" applyFont="1" applyFill="1"/>
    <xf numFmtId="0" fontId="2" fillId="4" borderId="0" xfId="0" applyFont="1" applyFill="1"/>
    <xf numFmtId="0" fontId="4" fillId="2" borderId="0" xfId="0" applyFont="1" applyFill="1"/>
    <xf numFmtId="0" fontId="3" fillId="8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4" fillId="8" borderId="1" xfId="0" applyFont="1" applyFill="1" applyBorder="1"/>
    <xf numFmtId="0" fontId="4" fillId="9" borderId="1" xfId="0" applyFont="1" applyFill="1" applyBorder="1"/>
    <xf numFmtId="0" fontId="2" fillId="10" borderId="1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2" fillId="11" borderId="1" xfId="0" applyFont="1" applyFill="1" applyBorder="1"/>
    <xf numFmtId="0" fontId="2" fillId="11" borderId="0" xfId="0" applyFont="1" applyFill="1"/>
    <xf numFmtId="9" fontId="2" fillId="7" borderId="1" xfId="1" applyFont="1" applyFill="1" applyBorder="1"/>
    <xf numFmtId="9" fontId="2" fillId="6" borderId="1" xfId="1" applyFont="1" applyFill="1" applyBorder="1"/>
    <xf numFmtId="0" fontId="0" fillId="12" borderId="1" xfId="0" applyFill="1" applyBorder="1"/>
    <xf numFmtId="0" fontId="0" fillId="13" borderId="1" xfId="0" applyFill="1" applyBorder="1"/>
    <xf numFmtId="10" fontId="1" fillId="7" borderId="1" xfId="1" applyNumberFormat="1" applyFont="1" applyFill="1" applyBorder="1" applyAlignment="1">
      <alignment horizontal="center"/>
    </xf>
    <xf numFmtId="10" fontId="1" fillId="6" borderId="1" xfId="1" applyNumberFormat="1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7" fillId="0" borderId="1" xfId="0" applyFont="1" applyBorder="1"/>
    <xf numFmtId="0" fontId="4" fillId="14" borderId="0" xfId="0" applyFont="1" applyFill="1"/>
    <xf numFmtId="0" fontId="0" fillId="10" borderId="1" xfId="0" applyFill="1" applyBorder="1"/>
    <xf numFmtId="0" fontId="4" fillId="15" borderId="0" xfId="0" applyFont="1" applyFill="1"/>
    <xf numFmtId="0" fontId="0" fillId="11" borderId="1" xfId="0" applyFill="1" applyBorder="1"/>
    <xf numFmtId="0" fontId="7" fillId="8" borderId="1" xfId="0" applyFont="1" applyFill="1" applyBorder="1"/>
    <xf numFmtId="0" fontId="7" fillId="9" borderId="1" xfId="0" applyFont="1" applyFill="1" applyBorder="1"/>
    <xf numFmtId="0" fontId="3" fillId="10" borderId="1" xfId="0" applyFont="1" applyFill="1" applyBorder="1" applyAlignment="1">
      <alignment horizontal="center"/>
    </xf>
    <xf numFmtId="0" fontId="8" fillId="0" borderId="0" xfId="0" applyFont="1"/>
    <xf numFmtId="0" fontId="0" fillId="14" borderId="0" xfId="0" applyFill="1"/>
    <xf numFmtId="0" fontId="0" fillId="15" borderId="0" xfId="0" applyFill="1"/>
    <xf numFmtId="1" fontId="0" fillId="5" borderId="0" xfId="0" applyNumberFormat="1" applyFill="1"/>
    <xf numFmtId="1" fontId="0" fillId="17" borderId="0" xfId="0" applyNumberFormat="1" applyFill="1"/>
    <xf numFmtId="0" fontId="0" fillId="18" borderId="0" xfId="0" applyFill="1"/>
    <xf numFmtId="0" fontId="1" fillId="0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1" fontId="1" fillId="17" borderId="1" xfId="0" applyNumberFormat="1" applyFont="1" applyFill="1" applyBorder="1" applyAlignment="1">
      <alignment horizontal="center"/>
    </xf>
    <xf numFmtId="0" fontId="0" fillId="14" borderId="1" xfId="0" applyFill="1" applyBorder="1"/>
    <xf numFmtId="0" fontId="0" fillId="15" borderId="1" xfId="0" applyFill="1" applyBorder="1"/>
    <xf numFmtId="0" fontId="0" fillId="18" borderId="1" xfId="0" applyFill="1" applyBorder="1"/>
    <xf numFmtId="1" fontId="0" fillId="5" borderId="1" xfId="0" applyNumberFormat="1" applyFill="1" applyBorder="1"/>
    <xf numFmtId="1" fontId="0" fillId="17" borderId="1" xfId="0" applyNumberFormat="1" applyFill="1" applyBorder="1"/>
    <xf numFmtId="0" fontId="0" fillId="8" borderId="1" xfId="0" applyFont="1" applyFill="1" applyBorder="1"/>
    <xf numFmtId="0" fontId="0" fillId="9" borderId="1" xfId="0" applyFont="1" applyFill="1" applyBorder="1"/>
    <xf numFmtId="1" fontId="4" fillId="5" borderId="1" xfId="0" applyNumberFormat="1" applyFont="1" applyFill="1" applyBorder="1" applyAlignment="1">
      <alignment horizontal="center"/>
    </xf>
    <xf numFmtId="1" fontId="4" fillId="17" borderId="1" xfId="0" applyNumberFormat="1" applyFont="1" applyFill="1" applyBorder="1" applyAlignment="1">
      <alignment horizontal="center"/>
    </xf>
    <xf numFmtId="0" fontId="0" fillId="16" borderId="0" xfId="0" applyFill="1"/>
    <xf numFmtId="2" fontId="1" fillId="5" borderId="1" xfId="0" applyNumberFormat="1" applyFont="1" applyFill="1" applyBorder="1" applyAlignment="1">
      <alignment horizontal="center"/>
    </xf>
    <xf numFmtId="2" fontId="1" fillId="17" borderId="1" xfId="0" applyNumberFormat="1" applyFont="1" applyFill="1" applyBorder="1" applyAlignment="1">
      <alignment horizontal="center"/>
    </xf>
    <xf numFmtId="2" fontId="4" fillId="5" borderId="1" xfId="0" applyNumberFormat="1" applyFont="1" applyFill="1" applyBorder="1" applyAlignment="1">
      <alignment horizontal="center"/>
    </xf>
    <xf numFmtId="2" fontId="4" fillId="17" borderId="1" xfId="0" applyNumberFormat="1" applyFont="1" applyFill="1" applyBorder="1" applyAlignment="1">
      <alignment horizontal="center"/>
    </xf>
    <xf numFmtId="2" fontId="0" fillId="5" borderId="1" xfId="0" applyNumberFormat="1" applyFill="1" applyBorder="1"/>
    <xf numFmtId="2" fontId="0" fillId="17" borderId="1" xfId="0" applyNumberFormat="1" applyFill="1" applyBorder="1"/>
    <xf numFmtId="2" fontId="0" fillId="5" borderId="0" xfId="0" applyNumberFormat="1" applyFill="1"/>
    <xf numFmtId="2" fontId="0" fillId="17" borderId="0" xfId="0" applyNumberFormat="1" applyFill="1"/>
    <xf numFmtId="0" fontId="1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7" fillId="2" borderId="1" xfId="0" applyFont="1" applyFill="1" applyBorder="1"/>
    <xf numFmtId="0" fontId="0" fillId="2" borderId="1" xfId="0" applyFont="1" applyFill="1" applyBorder="1"/>
    <xf numFmtId="0" fontId="0" fillId="4" borderId="1" xfId="0" applyFont="1" applyFill="1" applyBorder="1"/>
    <xf numFmtId="0" fontId="0" fillId="10" borderId="1" xfId="0" applyFont="1" applyFill="1" applyBorder="1"/>
    <xf numFmtId="0" fontId="1" fillId="9" borderId="1" xfId="0" applyFont="1" applyFill="1" applyBorder="1" applyAlignment="1">
      <alignment horizontal="center"/>
    </xf>
    <xf numFmtId="0" fontId="4" fillId="9" borderId="0" xfId="0" applyFont="1" applyFill="1"/>
    <xf numFmtId="0" fontId="0" fillId="8" borderId="1" xfId="0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1" xfId="0" applyFont="1" applyBorder="1"/>
    <xf numFmtId="0" fontId="3" fillId="10" borderId="1" xfId="0" applyFont="1" applyFill="1" applyBorder="1" applyAlignment="1">
      <alignment horizontal="center"/>
    </xf>
    <xf numFmtId="0" fontId="2" fillId="9" borderId="1" xfId="0" applyFont="1" applyFill="1" applyBorder="1"/>
    <xf numFmtId="0" fontId="2" fillId="8" borderId="1" xfId="0" applyFont="1" applyFill="1" applyBorder="1"/>
    <xf numFmtId="0" fontId="3" fillId="10" borderId="1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</cellXfs>
  <cellStyles count="2">
    <cellStyle name="Normálne" xfId="0" builtinId="0"/>
    <cellStyle name="Percentá" xfId="1" builtinId="5"/>
  </cellStyles>
  <dxfs count="0"/>
  <tableStyles count="0" defaultTableStyle="TableStyleMedium2" defaultPivotStyle="PivotStyleLight16"/>
  <colors>
    <mruColors>
      <color rgb="FF00FF00"/>
      <color rgb="FFFF9966"/>
      <color rgb="FF33ED52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Inlet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'1030'!$E$4:$E$184</c:f>
              <c:numCache>
                <c:formatCode>General</c:formatCode>
                <c:ptCount val="18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-0.7</c:v>
                </c:pt>
                <c:pt idx="4">
                  <c:v>-0.69</c:v>
                </c:pt>
                <c:pt idx="5">
                  <c:v>-0.69</c:v>
                </c:pt>
                <c:pt idx="6">
                  <c:v>-0.69</c:v>
                </c:pt>
                <c:pt idx="7">
                  <c:v>-0.69</c:v>
                </c:pt>
                <c:pt idx="8">
                  <c:v>-0.69</c:v>
                </c:pt>
                <c:pt idx="9">
                  <c:v>-0.69</c:v>
                </c:pt>
                <c:pt idx="10">
                  <c:v>-0.69</c:v>
                </c:pt>
                <c:pt idx="11">
                  <c:v>-1</c:v>
                </c:pt>
                <c:pt idx="12">
                  <c:v>-0.81</c:v>
                </c:pt>
                <c:pt idx="13">
                  <c:v>-0.69</c:v>
                </c:pt>
                <c:pt idx="14">
                  <c:v>-0.69</c:v>
                </c:pt>
                <c:pt idx="15">
                  <c:v>-0.7</c:v>
                </c:pt>
                <c:pt idx="16">
                  <c:v>-0.69</c:v>
                </c:pt>
                <c:pt idx="17">
                  <c:v>-0.69</c:v>
                </c:pt>
                <c:pt idx="18">
                  <c:v>-0.99</c:v>
                </c:pt>
                <c:pt idx="19">
                  <c:v>-0.99</c:v>
                </c:pt>
                <c:pt idx="20">
                  <c:v>-0.99</c:v>
                </c:pt>
                <c:pt idx="21">
                  <c:v>-0.71</c:v>
                </c:pt>
                <c:pt idx="22">
                  <c:v>-0.99</c:v>
                </c:pt>
                <c:pt idx="23">
                  <c:v>-0.99</c:v>
                </c:pt>
                <c:pt idx="24">
                  <c:v>-0.99</c:v>
                </c:pt>
                <c:pt idx="25">
                  <c:v>-1</c:v>
                </c:pt>
                <c:pt idx="26">
                  <c:v>-0.99</c:v>
                </c:pt>
                <c:pt idx="27">
                  <c:v>-0.5</c:v>
                </c:pt>
                <c:pt idx="28">
                  <c:v>-0.5</c:v>
                </c:pt>
                <c:pt idx="29">
                  <c:v>-0.8</c:v>
                </c:pt>
                <c:pt idx="30">
                  <c:v>-0.79</c:v>
                </c:pt>
                <c:pt idx="31">
                  <c:v>-0.79</c:v>
                </c:pt>
                <c:pt idx="32">
                  <c:v>-0.79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-0.79</c:v>
                </c:pt>
                <c:pt idx="38">
                  <c:v>-0.79</c:v>
                </c:pt>
                <c:pt idx="39">
                  <c:v>-0.79</c:v>
                </c:pt>
                <c:pt idx="40">
                  <c:v>-0.79</c:v>
                </c:pt>
                <c:pt idx="41">
                  <c:v>-0.79</c:v>
                </c:pt>
                <c:pt idx="42">
                  <c:v>-0.79</c:v>
                </c:pt>
                <c:pt idx="43">
                  <c:v>-0.79</c:v>
                </c:pt>
                <c:pt idx="44">
                  <c:v>-0.79</c:v>
                </c:pt>
                <c:pt idx="45">
                  <c:v>-0.79</c:v>
                </c:pt>
                <c:pt idx="46">
                  <c:v>-0.79</c:v>
                </c:pt>
                <c:pt idx="47">
                  <c:v>-0.79</c:v>
                </c:pt>
                <c:pt idx="48">
                  <c:v>-0.79</c:v>
                </c:pt>
                <c:pt idx="49">
                  <c:v>-0.79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-0.8</c:v>
                </c:pt>
                <c:pt idx="54">
                  <c:v>-0.8</c:v>
                </c:pt>
                <c:pt idx="55">
                  <c:v>-0.8</c:v>
                </c:pt>
                <c:pt idx="56">
                  <c:v>-0.8</c:v>
                </c:pt>
                <c:pt idx="57">
                  <c:v>-0.8</c:v>
                </c:pt>
                <c:pt idx="58">
                  <c:v>-0.8</c:v>
                </c:pt>
                <c:pt idx="59">
                  <c:v>-0.5</c:v>
                </c:pt>
                <c:pt idx="60">
                  <c:v>-0.5</c:v>
                </c:pt>
                <c:pt idx="61">
                  <c:v>-0.51</c:v>
                </c:pt>
                <c:pt idx="62">
                  <c:v>-0.51</c:v>
                </c:pt>
                <c:pt idx="63">
                  <c:v>-0.51</c:v>
                </c:pt>
                <c:pt idx="64">
                  <c:v>-0.51</c:v>
                </c:pt>
                <c:pt idx="65">
                  <c:v>-0.51</c:v>
                </c:pt>
                <c:pt idx="66">
                  <c:v>0.24</c:v>
                </c:pt>
                <c:pt idx="67">
                  <c:v>0.24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0.5</c:v>
                </c:pt>
                <c:pt idx="73">
                  <c:v>0.5</c:v>
                </c:pt>
                <c:pt idx="74">
                  <c:v>0.26</c:v>
                </c:pt>
                <c:pt idx="75">
                  <c:v>0.26</c:v>
                </c:pt>
                <c:pt idx="76">
                  <c:v>0.2</c:v>
                </c:pt>
                <c:pt idx="77">
                  <c:v>0.26</c:v>
                </c:pt>
                <c:pt idx="78">
                  <c:v>0.26</c:v>
                </c:pt>
                <c:pt idx="79">
                  <c:v>0.26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1.51</c:v>
                </c:pt>
                <c:pt idx="84">
                  <c:v>1.51</c:v>
                </c:pt>
                <c:pt idx="85">
                  <c:v>0.26</c:v>
                </c:pt>
                <c:pt idx="86">
                  <c:v>0.26</c:v>
                </c:pt>
                <c:pt idx="87">
                  <c:v>0.27</c:v>
                </c:pt>
                <c:pt idx="88">
                  <c:v>0.99</c:v>
                </c:pt>
                <c:pt idx="89">
                  <c:v>0.99</c:v>
                </c:pt>
                <c:pt idx="90">
                  <c:v>0.79</c:v>
                </c:pt>
                <c:pt idx="91">
                  <c:v>0.79</c:v>
                </c:pt>
                <c:pt idx="92">
                  <c:v>0.49</c:v>
                </c:pt>
                <c:pt idx="93">
                  <c:v>0.49</c:v>
                </c:pt>
                <c:pt idx="94">
                  <c:v>1.85</c:v>
                </c:pt>
                <c:pt idx="95">
                  <c:v>1.85</c:v>
                </c:pt>
                <c:pt idx="96">
                  <c:v>1.85</c:v>
                </c:pt>
                <c:pt idx="97">
                  <c:v>1.71</c:v>
                </c:pt>
                <c:pt idx="98">
                  <c:v>1.71</c:v>
                </c:pt>
                <c:pt idx="99">
                  <c:v>1.71</c:v>
                </c:pt>
                <c:pt idx="100">
                  <c:v>1.71</c:v>
                </c:pt>
                <c:pt idx="101">
                  <c:v>1.71</c:v>
                </c:pt>
                <c:pt idx="102">
                  <c:v>1.71</c:v>
                </c:pt>
                <c:pt idx="103">
                  <c:v>1.71</c:v>
                </c:pt>
                <c:pt idx="104">
                  <c:v>1.71</c:v>
                </c:pt>
                <c:pt idx="105">
                  <c:v>1.71</c:v>
                </c:pt>
                <c:pt idx="106">
                  <c:v>1.71</c:v>
                </c:pt>
                <c:pt idx="107">
                  <c:v>1.71</c:v>
                </c:pt>
                <c:pt idx="108">
                  <c:v>1.71</c:v>
                </c:pt>
                <c:pt idx="109">
                  <c:v>1.71</c:v>
                </c:pt>
                <c:pt idx="110">
                  <c:v>1.71</c:v>
                </c:pt>
                <c:pt idx="111">
                  <c:v>1.71</c:v>
                </c:pt>
                <c:pt idx="112">
                  <c:v>1.71</c:v>
                </c:pt>
                <c:pt idx="113">
                  <c:v>1.71</c:v>
                </c:pt>
                <c:pt idx="114">
                  <c:v>1.71</c:v>
                </c:pt>
                <c:pt idx="115">
                  <c:v>1.71</c:v>
                </c:pt>
                <c:pt idx="116">
                  <c:v>1.61</c:v>
                </c:pt>
                <c:pt idx="117">
                  <c:v>1.61</c:v>
                </c:pt>
                <c:pt idx="118">
                  <c:v>1.61</c:v>
                </c:pt>
                <c:pt idx="119">
                  <c:v>1.61</c:v>
                </c:pt>
                <c:pt idx="120">
                  <c:v>1.84</c:v>
                </c:pt>
                <c:pt idx="121">
                  <c:v>1.84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2.35</c:v>
                </c:pt>
                <c:pt idx="128">
                  <c:v>2.35</c:v>
                </c:pt>
                <c:pt idx="129">
                  <c:v>2.35</c:v>
                </c:pt>
                <c:pt idx="130">
                  <c:v>1.85</c:v>
                </c:pt>
                <c:pt idx="131">
                  <c:v>1.85</c:v>
                </c:pt>
                <c:pt idx="132">
                  <c:v>1.9</c:v>
                </c:pt>
                <c:pt idx="133">
                  <c:v>1.9</c:v>
                </c:pt>
                <c:pt idx="134">
                  <c:v>1.9</c:v>
                </c:pt>
                <c:pt idx="135">
                  <c:v>1.9</c:v>
                </c:pt>
                <c:pt idx="136">
                  <c:v>3</c:v>
                </c:pt>
                <c:pt idx="137">
                  <c:v>1.59</c:v>
                </c:pt>
                <c:pt idx="138">
                  <c:v>1.59</c:v>
                </c:pt>
                <c:pt idx="139">
                  <c:v>1.59</c:v>
                </c:pt>
                <c:pt idx="140">
                  <c:v>1.6</c:v>
                </c:pt>
                <c:pt idx="141">
                  <c:v>1.84</c:v>
                </c:pt>
                <c:pt idx="142">
                  <c:v>1.46</c:v>
                </c:pt>
                <c:pt idx="143">
                  <c:v>1.46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1.51</c:v>
                </c:pt>
                <c:pt idx="148">
                  <c:v>1.51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2.94</c:v>
                </c:pt>
                <c:pt idx="154">
                  <c:v>2.95</c:v>
                </c:pt>
                <c:pt idx="155">
                  <c:v>2.95</c:v>
                </c:pt>
                <c:pt idx="156">
                  <c:v>2.2400000000000002</c:v>
                </c:pt>
                <c:pt idx="157">
                  <c:v>2.2400000000000002</c:v>
                </c:pt>
                <c:pt idx="158">
                  <c:v>2.2400000000000002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2.96</c:v>
                </c:pt>
                <c:pt idx="173">
                  <c:v>2.96</c:v>
                </c:pt>
                <c:pt idx="174">
                  <c:v>2.96</c:v>
                </c:pt>
                <c:pt idx="175">
                  <c:v>2.25</c:v>
                </c:pt>
                <c:pt idx="176">
                  <c:v>2.25</c:v>
                </c:pt>
                <c:pt idx="177">
                  <c:v>2.25</c:v>
                </c:pt>
                <c:pt idx="178">
                  <c:v>2.95</c:v>
                </c:pt>
                <c:pt idx="179">
                  <c:v>2.95</c:v>
                </c:pt>
                <c:pt idx="180">
                  <c:v>2.95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'1030'!$F$4:$F$184</c:f>
              <c:numCache>
                <c:formatCode>General</c:formatCode>
                <c:ptCount val="181"/>
                <c:pt idx="0">
                  <c:v>-1.6</c:v>
                </c:pt>
                <c:pt idx="1">
                  <c:v>-1.6</c:v>
                </c:pt>
                <c:pt idx="2">
                  <c:v>-1.6</c:v>
                </c:pt>
                <c:pt idx="3">
                  <c:v>-1.6</c:v>
                </c:pt>
                <c:pt idx="4">
                  <c:v>-1.6</c:v>
                </c:pt>
                <c:pt idx="5">
                  <c:v>-1.6</c:v>
                </c:pt>
                <c:pt idx="6">
                  <c:v>-1.6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-1.6</c:v>
                </c:pt>
                <c:pt idx="18">
                  <c:v>-1.6</c:v>
                </c:pt>
                <c:pt idx="19">
                  <c:v>-1.6</c:v>
                </c:pt>
                <c:pt idx="20">
                  <c:v>-1.6</c:v>
                </c:pt>
                <c:pt idx="21">
                  <c:v>-1.6</c:v>
                </c:pt>
                <c:pt idx="22">
                  <c:v>-1.6</c:v>
                </c:pt>
                <c:pt idx="23">
                  <c:v>-1.6</c:v>
                </c:pt>
                <c:pt idx="24">
                  <c:v>-1.6</c:v>
                </c:pt>
                <c:pt idx="25">
                  <c:v>-1.6</c:v>
                </c:pt>
                <c:pt idx="26">
                  <c:v>-1.5</c:v>
                </c:pt>
                <c:pt idx="27">
                  <c:v>-1.2</c:v>
                </c:pt>
                <c:pt idx="28">
                  <c:v>-1.2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0.9</c:v>
                </c:pt>
                <c:pt idx="95">
                  <c:v>0.9</c:v>
                </c:pt>
                <c:pt idx="96">
                  <c:v>0.9</c:v>
                </c:pt>
                <c:pt idx="97">
                  <c:v>0.9</c:v>
                </c:pt>
                <c:pt idx="98">
                  <c:v>0.9</c:v>
                </c:pt>
                <c:pt idx="99">
                  <c:v>0.9</c:v>
                </c:pt>
                <c:pt idx="100">
                  <c:v>0.9</c:v>
                </c:pt>
                <c:pt idx="101">
                  <c:v>0.9</c:v>
                </c:pt>
                <c:pt idx="102">
                  <c:v>0.9</c:v>
                </c:pt>
                <c:pt idx="103">
                  <c:v>0.9</c:v>
                </c:pt>
                <c:pt idx="104">
                  <c:v>0.9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0.9</c:v>
                </c:pt>
                <c:pt idx="119">
                  <c:v>0.9</c:v>
                </c:pt>
                <c:pt idx="120">
                  <c:v>0.9</c:v>
                </c:pt>
                <c:pt idx="121">
                  <c:v>0.9</c:v>
                </c:pt>
                <c:pt idx="122">
                  <c:v>0.9</c:v>
                </c:pt>
                <c:pt idx="123">
                  <c:v>0.9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0.9</c:v>
                </c:pt>
                <c:pt idx="132">
                  <c:v>0.9</c:v>
                </c:pt>
                <c:pt idx="133">
                  <c:v>0.9</c:v>
                </c:pt>
                <c:pt idx="134">
                  <c:v>0.9</c:v>
                </c:pt>
                <c:pt idx="135">
                  <c:v>0.9</c:v>
                </c:pt>
                <c:pt idx="136">
                  <c:v>0.9</c:v>
                </c:pt>
                <c:pt idx="137">
                  <c:v>0.9</c:v>
                </c:pt>
                <c:pt idx="138">
                  <c:v>0.9</c:v>
                </c:pt>
                <c:pt idx="139">
                  <c:v>0.9</c:v>
                </c:pt>
                <c:pt idx="140">
                  <c:v>0.9</c:v>
                </c:pt>
                <c:pt idx="141">
                  <c:v>0.9</c:v>
                </c:pt>
                <c:pt idx="142">
                  <c:v>0.9</c:v>
                </c:pt>
                <c:pt idx="143">
                  <c:v>0.9</c:v>
                </c:pt>
                <c:pt idx="144">
                  <c:v>0.9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0.9</c:v>
                </c:pt>
                <c:pt idx="149">
                  <c:v>0.9</c:v>
                </c:pt>
                <c:pt idx="150">
                  <c:v>0.9</c:v>
                </c:pt>
                <c:pt idx="151">
                  <c:v>0.9</c:v>
                </c:pt>
                <c:pt idx="152">
                  <c:v>0.9</c:v>
                </c:pt>
                <c:pt idx="153">
                  <c:v>2.1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2.1</c:v>
                </c:pt>
                <c:pt idx="161">
                  <c:v>2.1</c:v>
                </c:pt>
                <c:pt idx="162">
                  <c:v>2.1</c:v>
                </c:pt>
                <c:pt idx="163">
                  <c:v>2.1</c:v>
                </c:pt>
                <c:pt idx="164">
                  <c:v>2.1</c:v>
                </c:pt>
                <c:pt idx="165">
                  <c:v>2.1</c:v>
                </c:pt>
                <c:pt idx="166">
                  <c:v>2.1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2.1</c:v>
                </c:pt>
                <c:pt idx="176">
                  <c:v>2.1</c:v>
                </c:pt>
                <c:pt idx="177">
                  <c:v>2.1</c:v>
                </c:pt>
                <c:pt idx="178">
                  <c:v>2.1</c:v>
                </c:pt>
                <c:pt idx="179">
                  <c:v>2.1</c:v>
                </c:pt>
                <c:pt idx="180">
                  <c:v>2.1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'1030'!$G$4:$G$184</c:f>
              <c:numCache>
                <c:formatCode>General</c:formatCode>
                <c:ptCount val="181"/>
                <c:pt idx="0">
                  <c:v>-0.75</c:v>
                </c:pt>
                <c:pt idx="1">
                  <c:v>-0.75</c:v>
                </c:pt>
                <c:pt idx="2">
                  <c:v>-0.75</c:v>
                </c:pt>
                <c:pt idx="3">
                  <c:v>-0.75</c:v>
                </c:pt>
                <c:pt idx="4">
                  <c:v>-0.75</c:v>
                </c:pt>
                <c:pt idx="5">
                  <c:v>-0.75</c:v>
                </c:pt>
                <c:pt idx="6">
                  <c:v>-0.75</c:v>
                </c:pt>
                <c:pt idx="7">
                  <c:v>-0.75</c:v>
                </c:pt>
                <c:pt idx="8">
                  <c:v>-0.75</c:v>
                </c:pt>
                <c:pt idx="9">
                  <c:v>-0.75</c:v>
                </c:pt>
                <c:pt idx="10">
                  <c:v>-0.75</c:v>
                </c:pt>
                <c:pt idx="11">
                  <c:v>-0.75</c:v>
                </c:pt>
                <c:pt idx="12">
                  <c:v>-0.75</c:v>
                </c:pt>
                <c:pt idx="13">
                  <c:v>-0.75</c:v>
                </c:pt>
                <c:pt idx="14">
                  <c:v>-0.75</c:v>
                </c:pt>
                <c:pt idx="15">
                  <c:v>-0.75</c:v>
                </c:pt>
                <c:pt idx="16">
                  <c:v>-0.75</c:v>
                </c:pt>
                <c:pt idx="17">
                  <c:v>-0.75</c:v>
                </c:pt>
                <c:pt idx="18">
                  <c:v>-0.75</c:v>
                </c:pt>
                <c:pt idx="19">
                  <c:v>-0.75</c:v>
                </c:pt>
                <c:pt idx="20">
                  <c:v>-0.75</c:v>
                </c:pt>
                <c:pt idx="21">
                  <c:v>-0.75</c:v>
                </c:pt>
                <c:pt idx="22">
                  <c:v>-0.75</c:v>
                </c:pt>
                <c:pt idx="23">
                  <c:v>-0.75</c:v>
                </c:pt>
                <c:pt idx="24">
                  <c:v>-0.75</c:v>
                </c:pt>
                <c:pt idx="25">
                  <c:v>-0.75</c:v>
                </c:pt>
                <c:pt idx="26">
                  <c:v>-0.6</c:v>
                </c:pt>
                <c:pt idx="27">
                  <c:v>-0.3</c:v>
                </c:pt>
                <c:pt idx="28">
                  <c:v>-0.3</c:v>
                </c:pt>
                <c:pt idx="29">
                  <c:v>-0.1</c:v>
                </c:pt>
                <c:pt idx="30">
                  <c:v>-0.1</c:v>
                </c:pt>
                <c:pt idx="31">
                  <c:v>-0.1</c:v>
                </c:pt>
                <c:pt idx="32">
                  <c:v>-0.1</c:v>
                </c:pt>
                <c:pt idx="33">
                  <c:v>-0.1</c:v>
                </c:pt>
                <c:pt idx="34">
                  <c:v>-0.1</c:v>
                </c:pt>
                <c:pt idx="35">
                  <c:v>-0.1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-0.1</c:v>
                </c:pt>
                <c:pt idx="53">
                  <c:v>-0.1</c:v>
                </c:pt>
                <c:pt idx="54">
                  <c:v>-0.1</c:v>
                </c:pt>
                <c:pt idx="55">
                  <c:v>-0.1</c:v>
                </c:pt>
                <c:pt idx="56">
                  <c:v>-0.1</c:v>
                </c:pt>
                <c:pt idx="57">
                  <c:v>-0.1</c:v>
                </c:pt>
                <c:pt idx="58">
                  <c:v>-0.1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</c:v>
                </c:pt>
                <c:pt idx="117">
                  <c:v>1.7</c:v>
                </c:pt>
                <c:pt idx="118">
                  <c:v>1.7</c:v>
                </c:pt>
                <c:pt idx="119">
                  <c:v>1.7</c:v>
                </c:pt>
                <c:pt idx="120">
                  <c:v>1.7</c:v>
                </c:pt>
                <c:pt idx="121">
                  <c:v>1.7</c:v>
                </c:pt>
                <c:pt idx="122">
                  <c:v>1.75</c:v>
                </c:pt>
                <c:pt idx="123">
                  <c:v>1.75</c:v>
                </c:pt>
                <c:pt idx="124">
                  <c:v>1.75</c:v>
                </c:pt>
                <c:pt idx="125">
                  <c:v>1.75</c:v>
                </c:pt>
                <c:pt idx="126">
                  <c:v>1.75</c:v>
                </c:pt>
                <c:pt idx="127">
                  <c:v>1.75</c:v>
                </c:pt>
                <c:pt idx="128">
                  <c:v>1.75</c:v>
                </c:pt>
                <c:pt idx="129">
                  <c:v>1.75</c:v>
                </c:pt>
                <c:pt idx="130">
                  <c:v>1.75</c:v>
                </c:pt>
                <c:pt idx="131">
                  <c:v>1.75</c:v>
                </c:pt>
                <c:pt idx="132">
                  <c:v>1.75</c:v>
                </c:pt>
                <c:pt idx="133">
                  <c:v>1.75</c:v>
                </c:pt>
                <c:pt idx="134">
                  <c:v>1.75</c:v>
                </c:pt>
                <c:pt idx="135">
                  <c:v>1.75</c:v>
                </c:pt>
                <c:pt idx="136">
                  <c:v>1.75</c:v>
                </c:pt>
                <c:pt idx="137">
                  <c:v>1.7</c:v>
                </c:pt>
                <c:pt idx="138">
                  <c:v>1.7</c:v>
                </c:pt>
                <c:pt idx="139">
                  <c:v>1.7</c:v>
                </c:pt>
                <c:pt idx="140">
                  <c:v>1.7</c:v>
                </c:pt>
                <c:pt idx="141">
                  <c:v>1.7</c:v>
                </c:pt>
                <c:pt idx="142">
                  <c:v>1.7</c:v>
                </c:pt>
                <c:pt idx="143">
                  <c:v>1.7</c:v>
                </c:pt>
                <c:pt idx="144">
                  <c:v>1.75</c:v>
                </c:pt>
                <c:pt idx="145">
                  <c:v>1.75</c:v>
                </c:pt>
                <c:pt idx="146">
                  <c:v>1.75</c:v>
                </c:pt>
                <c:pt idx="147">
                  <c:v>1.75</c:v>
                </c:pt>
                <c:pt idx="148">
                  <c:v>1.75</c:v>
                </c:pt>
                <c:pt idx="149">
                  <c:v>1.75</c:v>
                </c:pt>
                <c:pt idx="150">
                  <c:v>1.75</c:v>
                </c:pt>
                <c:pt idx="151">
                  <c:v>1.75</c:v>
                </c:pt>
                <c:pt idx="152">
                  <c:v>1.75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2.8</c:v>
                </c:pt>
                <c:pt idx="163">
                  <c:v>2.8</c:v>
                </c:pt>
                <c:pt idx="164">
                  <c:v>2.8</c:v>
                </c:pt>
                <c:pt idx="165">
                  <c:v>2.8</c:v>
                </c:pt>
                <c:pt idx="166">
                  <c:v>2.8</c:v>
                </c:pt>
                <c:pt idx="167">
                  <c:v>2.8</c:v>
                </c:pt>
                <c:pt idx="168">
                  <c:v>2.8</c:v>
                </c:pt>
                <c:pt idx="169">
                  <c:v>2.8</c:v>
                </c:pt>
                <c:pt idx="170">
                  <c:v>2.8</c:v>
                </c:pt>
                <c:pt idx="171">
                  <c:v>2.8</c:v>
                </c:pt>
                <c:pt idx="172">
                  <c:v>2.8</c:v>
                </c:pt>
                <c:pt idx="173">
                  <c:v>2.8</c:v>
                </c:pt>
                <c:pt idx="174">
                  <c:v>2.8</c:v>
                </c:pt>
                <c:pt idx="175">
                  <c:v>2.8</c:v>
                </c:pt>
                <c:pt idx="176">
                  <c:v>2.8</c:v>
                </c:pt>
                <c:pt idx="177">
                  <c:v>2.8</c:v>
                </c:pt>
                <c:pt idx="178">
                  <c:v>2.8</c:v>
                </c:pt>
                <c:pt idx="179">
                  <c:v>2.8</c:v>
                </c:pt>
                <c:pt idx="180">
                  <c:v>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414656"/>
        <c:axId val="342415048"/>
      </c:lineChart>
      <c:catAx>
        <c:axId val="342414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2415048"/>
        <c:crosses val="autoZero"/>
        <c:auto val="1"/>
        <c:lblAlgn val="ctr"/>
        <c:lblOffset val="100"/>
        <c:noMultiLvlLbl val="0"/>
      </c:catAx>
      <c:valAx>
        <c:axId val="3424150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4241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Outlet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'1030'!$I$4:$I$184</c:f>
              <c:numCache>
                <c:formatCode>General</c:formatCode>
                <c:ptCount val="18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0.93</c:v>
                </c:pt>
                <c:pt idx="4">
                  <c:v>0.94</c:v>
                </c:pt>
                <c:pt idx="5">
                  <c:v>0.94</c:v>
                </c:pt>
                <c:pt idx="6">
                  <c:v>0.94</c:v>
                </c:pt>
                <c:pt idx="7">
                  <c:v>0.94</c:v>
                </c:pt>
                <c:pt idx="8">
                  <c:v>0.94</c:v>
                </c:pt>
                <c:pt idx="9">
                  <c:v>0.94</c:v>
                </c:pt>
                <c:pt idx="10">
                  <c:v>0.94</c:v>
                </c:pt>
                <c:pt idx="11">
                  <c:v>0.8</c:v>
                </c:pt>
                <c:pt idx="12">
                  <c:v>0.8</c:v>
                </c:pt>
                <c:pt idx="13">
                  <c:v>0.94</c:v>
                </c:pt>
                <c:pt idx="14">
                  <c:v>0.94</c:v>
                </c:pt>
                <c:pt idx="15">
                  <c:v>0.93</c:v>
                </c:pt>
                <c:pt idx="16">
                  <c:v>0.94</c:v>
                </c:pt>
                <c:pt idx="17">
                  <c:v>0.94</c:v>
                </c:pt>
                <c:pt idx="18">
                  <c:v>0.81</c:v>
                </c:pt>
                <c:pt idx="19">
                  <c:v>0.81</c:v>
                </c:pt>
                <c:pt idx="20">
                  <c:v>0.8</c:v>
                </c:pt>
                <c:pt idx="21">
                  <c:v>0.91</c:v>
                </c:pt>
                <c:pt idx="22">
                  <c:v>0.81</c:v>
                </c:pt>
                <c:pt idx="23">
                  <c:v>0.81</c:v>
                </c:pt>
                <c:pt idx="24">
                  <c:v>0.81</c:v>
                </c:pt>
                <c:pt idx="25">
                  <c:v>0.6</c:v>
                </c:pt>
                <c:pt idx="26">
                  <c:v>0.75</c:v>
                </c:pt>
                <c:pt idx="27">
                  <c:v>1.3</c:v>
                </c:pt>
                <c:pt idx="28">
                  <c:v>1.3</c:v>
                </c:pt>
                <c:pt idx="29">
                  <c:v>1.21</c:v>
                </c:pt>
                <c:pt idx="30">
                  <c:v>1.21</c:v>
                </c:pt>
                <c:pt idx="31">
                  <c:v>1.21</c:v>
                </c:pt>
                <c:pt idx="32">
                  <c:v>1.21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1.21</c:v>
                </c:pt>
                <c:pt idx="38">
                  <c:v>1.21</c:v>
                </c:pt>
                <c:pt idx="39">
                  <c:v>1.21</c:v>
                </c:pt>
                <c:pt idx="40">
                  <c:v>1.21</c:v>
                </c:pt>
                <c:pt idx="41">
                  <c:v>1.21</c:v>
                </c:pt>
                <c:pt idx="42">
                  <c:v>1.21</c:v>
                </c:pt>
                <c:pt idx="43">
                  <c:v>1.21</c:v>
                </c:pt>
                <c:pt idx="44">
                  <c:v>1.21</c:v>
                </c:pt>
                <c:pt idx="45">
                  <c:v>1.21</c:v>
                </c:pt>
                <c:pt idx="46">
                  <c:v>1.21</c:v>
                </c:pt>
                <c:pt idx="47">
                  <c:v>1.21</c:v>
                </c:pt>
                <c:pt idx="48">
                  <c:v>1.21</c:v>
                </c:pt>
                <c:pt idx="49">
                  <c:v>1.21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1.21</c:v>
                </c:pt>
                <c:pt idx="62">
                  <c:v>1.21</c:v>
                </c:pt>
                <c:pt idx="63">
                  <c:v>1.21</c:v>
                </c:pt>
                <c:pt idx="64">
                  <c:v>1.21</c:v>
                </c:pt>
                <c:pt idx="65">
                  <c:v>1.21</c:v>
                </c:pt>
                <c:pt idx="66">
                  <c:v>1.94</c:v>
                </c:pt>
                <c:pt idx="67">
                  <c:v>1.94</c:v>
                </c:pt>
                <c:pt idx="68">
                  <c:v>1.94</c:v>
                </c:pt>
                <c:pt idx="69">
                  <c:v>1.94</c:v>
                </c:pt>
                <c:pt idx="70">
                  <c:v>1.94</c:v>
                </c:pt>
                <c:pt idx="71">
                  <c:v>1.94</c:v>
                </c:pt>
                <c:pt idx="72">
                  <c:v>1.74</c:v>
                </c:pt>
                <c:pt idx="73">
                  <c:v>1.74</c:v>
                </c:pt>
                <c:pt idx="74">
                  <c:v>1.94</c:v>
                </c:pt>
                <c:pt idx="75">
                  <c:v>1.94</c:v>
                </c:pt>
                <c:pt idx="76">
                  <c:v>1.8</c:v>
                </c:pt>
                <c:pt idx="77">
                  <c:v>1.96</c:v>
                </c:pt>
                <c:pt idx="78">
                  <c:v>1.96</c:v>
                </c:pt>
                <c:pt idx="79">
                  <c:v>1.96</c:v>
                </c:pt>
                <c:pt idx="80">
                  <c:v>1.95</c:v>
                </c:pt>
                <c:pt idx="81">
                  <c:v>1.95</c:v>
                </c:pt>
                <c:pt idx="82">
                  <c:v>1.95</c:v>
                </c:pt>
                <c:pt idx="83">
                  <c:v>1.91</c:v>
                </c:pt>
                <c:pt idx="84">
                  <c:v>1.91</c:v>
                </c:pt>
                <c:pt idx="85">
                  <c:v>1.96</c:v>
                </c:pt>
                <c:pt idx="86">
                  <c:v>1.96</c:v>
                </c:pt>
                <c:pt idx="87">
                  <c:v>1.96</c:v>
                </c:pt>
                <c:pt idx="88">
                  <c:v>1.99</c:v>
                </c:pt>
                <c:pt idx="89">
                  <c:v>1.99</c:v>
                </c:pt>
                <c:pt idx="90">
                  <c:v>1.92</c:v>
                </c:pt>
                <c:pt idx="91">
                  <c:v>1.8</c:v>
                </c:pt>
                <c:pt idx="92">
                  <c:v>1.7</c:v>
                </c:pt>
                <c:pt idx="93">
                  <c:v>1.64</c:v>
                </c:pt>
                <c:pt idx="94">
                  <c:v>2.8</c:v>
                </c:pt>
                <c:pt idx="95">
                  <c:v>2.8</c:v>
                </c:pt>
                <c:pt idx="96">
                  <c:v>2.85</c:v>
                </c:pt>
                <c:pt idx="97">
                  <c:v>2.99</c:v>
                </c:pt>
                <c:pt idx="98">
                  <c:v>2.99</c:v>
                </c:pt>
                <c:pt idx="99">
                  <c:v>2.99</c:v>
                </c:pt>
                <c:pt idx="100">
                  <c:v>2.99</c:v>
                </c:pt>
                <c:pt idx="101">
                  <c:v>2.99</c:v>
                </c:pt>
                <c:pt idx="102">
                  <c:v>2.99</c:v>
                </c:pt>
                <c:pt idx="103">
                  <c:v>2.99</c:v>
                </c:pt>
                <c:pt idx="104">
                  <c:v>2.99</c:v>
                </c:pt>
                <c:pt idx="105">
                  <c:v>2.99</c:v>
                </c:pt>
                <c:pt idx="106">
                  <c:v>2.99</c:v>
                </c:pt>
                <c:pt idx="107">
                  <c:v>2.99</c:v>
                </c:pt>
                <c:pt idx="108">
                  <c:v>2.99</c:v>
                </c:pt>
                <c:pt idx="109">
                  <c:v>2.99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2.96</c:v>
                </c:pt>
                <c:pt idx="117">
                  <c:v>2.96</c:v>
                </c:pt>
                <c:pt idx="118">
                  <c:v>2.96</c:v>
                </c:pt>
                <c:pt idx="119">
                  <c:v>2.96</c:v>
                </c:pt>
                <c:pt idx="120">
                  <c:v>2.96</c:v>
                </c:pt>
                <c:pt idx="121">
                  <c:v>2.96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2.8</c:v>
                </c:pt>
                <c:pt idx="131">
                  <c:v>2.8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2.83</c:v>
                </c:pt>
                <c:pt idx="137">
                  <c:v>2.84</c:v>
                </c:pt>
                <c:pt idx="138">
                  <c:v>2.84</c:v>
                </c:pt>
                <c:pt idx="139">
                  <c:v>2.95</c:v>
                </c:pt>
                <c:pt idx="140">
                  <c:v>2.95</c:v>
                </c:pt>
                <c:pt idx="141">
                  <c:v>2.91</c:v>
                </c:pt>
                <c:pt idx="142">
                  <c:v>3.04</c:v>
                </c:pt>
                <c:pt idx="143">
                  <c:v>3.04</c:v>
                </c:pt>
                <c:pt idx="144">
                  <c:v>2.94</c:v>
                </c:pt>
                <c:pt idx="145">
                  <c:v>2.8</c:v>
                </c:pt>
                <c:pt idx="146">
                  <c:v>2.8</c:v>
                </c:pt>
                <c:pt idx="147">
                  <c:v>2.96</c:v>
                </c:pt>
                <c:pt idx="148">
                  <c:v>2.96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3.37</c:v>
                </c:pt>
                <c:pt idx="154">
                  <c:v>3.38</c:v>
                </c:pt>
                <c:pt idx="155">
                  <c:v>3.38</c:v>
                </c:pt>
                <c:pt idx="156">
                  <c:v>3.79</c:v>
                </c:pt>
                <c:pt idx="157">
                  <c:v>3.79</c:v>
                </c:pt>
                <c:pt idx="158">
                  <c:v>3.79</c:v>
                </c:pt>
                <c:pt idx="159">
                  <c:v>3.81</c:v>
                </c:pt>
                <c:pt idx="160">
                  <c:v>3.81</c:v>
                </c:pt>
                <c:pt idx="161">
                  <c:v>3.81</c:v>
                </c:pt>
                <c:pt idx="162">
                  <c:v>3.81</c:v>
                </c:pt>
                <c:pt idx="163">
                  <c:v>3.81</c:v>
                </c:pt>
                <c:pt idx="164">
                  <c:v>3.81</c:v>
                </c:pt>
                <c:pt idx="165">
                  <c:v>3.81</c:v>
                </c:pt>
                <c:pt idx="166">
                  <c:v>3.81</c:v>
                </c:pt>
                <c:pt idx="167">
                  <c:v>3.81</c:v>
                </c:pt>
                <c:pt idx="168">
                  <c:v>3.81</c:v>
                </c:pt>
                <c:pt idx="169">
                  <c:v>3.81</c:v>
                </c:pt>
                <c:pt idx="170">
                  <c:v>3.81</c:v>
                </c:pt>
                <c:pt idx="171">
                  <c:v>3.81</c:v>
                </c:pt>
                <c:pt idx="172">
                  <c:v>3.39</c:v>
                </c:pt>
                <c:pt idx="173">
                  <c:v>3.39</c:v>
                </c:pt>
                <c:pt idx="174">
                  <c:v>3.39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3.37</c:v>
                </c:pt>
                <c:pt idx="179">
                  <c:v>3.37</c:v>
                </c:pt>
                <c:pt idx="180">
                  <c:v>3.37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'1030'!$J$4:$J$184</c:f>
              <c:numCache>
                <c:formatCode>General</c:formatCode>
                <c:ptCount val="18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0.5</c:v>
                </c:pt>
                <c:pt idx="27">
                  <c:v>0.75</c:v>
                </c:pt>
                <c:pt idx="28">
                  <c:v>0.75</c:v>
                </c:pt>
                <c:pt idx="29">
                  <c:v>0.95</c:v>
                </c:pt>
                <c:pt idx="30">
                  <c:v>0.95</c:v>
                </c:pt>
                <c:pt idx="31">
                  <c:v>0.95</c:v>
                </c:pt>
                <c:pt idx="32">
                  <c:v>0.95</c:v>
                </c:pt>
                <c:pt idx="33">
                  <c:v>0.95</c:v>
                </c:pt>
                <c:pt idx="34">
                  <c:v>0.95</c:v>
                </c:pt>
                <c:pt idx="35">
                  <c:v>0.95</c:v>
                </c:pt>
                <c:pt idx="36">
                  <c:v>0.95</c:v>
                </c:pt>
                <c:pt idx="37">
                  <c:v>0.95</c:v>
                </c:pt>
                <c:pt idx="38">
                  <c:v>0.95</c:v>
                </c:pt>
                <c:pt idx="39">
                  <c:v>0.95</c:v>
                </c:pt>
                <c:pt idx="40">
                  <c:v>0.95</c:v>
                </c:pt>
                <c:pt idx="41">
                  <c:v>0.95</c:v>
                </c:pt>
                <c:pt idx="42">
                  <c:v>0.95</c:v>
                </c:pt>
                <c:pt idx="43">
                  <c:v>0.95</c:v>
                </c:pt>
                <c:pt idx="44">
                  <c:v>0.95</c:v>
                </c:pt>
                <c:pt idx="45">
                  <c:v>0.95</c:v>
                </c:pt>
                <c:pt idx="46">
                  <c:v>0.95</c:v>
                </c:pt>
                <c:pt idx="47">
                  <c:v>0.95</c:v>
                </c:pt>
                <c:pt idx="48">
                  <c:v>0.95</c:v>
                </c:pt>
                <c:pt idx="49">
                  <c:v>0.95</c:v>
                </c:pt>
                <c:pt idx="50">
                  <c:v>0.95</c:v>
                </c:pt>
                <c:pt idx="51">
                  <c:v>0.95</c:v>
                </c:pt>
                <c:pt idx="52">
                  <c:v>0.95</c:v>
                </c:pt>
                <c:pt idx="53">
                  <c:v>0.95</c:v>
                </c:pt>
                <c:pt idx="54">
                  <c:v>0.95</c:v>
                </c:pt>
                <c:pt idx="55">
                  <c:v>0.95</c:v>
                </c:pt>
                <c:pt idx="56">
                  <c:v>0.95</c:v>
                </c:pt>
                <c:pt idx="57">
                  <c:v>0.95</c:v>
                </c:pt>
                <c:pt idx="58">
                  <c:v>0.95</c:v>
                </c:pt>
                <c:pt idx="59">
                  <c:v>1.1000000000000001</c:v>
                </c:pt>
                <c:pt idx="60">
                  <c:v>1.1000000000000001</c:v>
                </c:pt>
                <c:pt idx="61">
                  <c:v>1.1000000000000001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1.1000000000000001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1.6</c:v>
                </c:pt>
                <c:pt idx="74">
                  <c:v>1.6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1.6</c:v>
                </c:pt>
                <c:pt idx="85">
                  <c:v>1.6</c:v>
                </c:pt>
                <c:pt idx="86">
                  <c:v>1.6</c:v>
                </c:pt>
                <c:pt idx="87">
                  <c:v>1.6</c:v>
                </c:pt>
                <c:pt idx="88">
                  <c:v>1.6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2.6</c:v>
                </c:pt>
                <c:pt idx="95">
                  <c:v>2.6</c:v>
                </c:pt>
                <c:pt idx="96">
                  <c:v>2.6</c:v>
                </c:pt>
                <c:pt idx="97">
                  <c:v>2.6</c:v>
                </c:pt>
                <c:pt idx="98">
                  <c:v>2.6</c:v>
                </c:pt>
                <c:pt idx="99">
                  <c:v>2.6</c:v>
                </c:pt>
                <c:pt idx="100">
                  <c:v>2.6</c:v>
                </c:pt>
                <c:pt idx="101">
                  <c:v>2.6</c:v>
                </c:pt>
                <c:pt idx="102">
                  <c:v>2.6</c:v>
                </c:pt>
                <c:pt idx="103">
                  <c:v>2.6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2.6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2.6</c:v>
                </c:pt>
                <c:pt idx="119">
                  <c:v>2.6</c:v>
                </c:pt>
                <c:pt idx="120">
                  <c:v>2.6</c:v>
                </c:pt>
                <c:pt idx="121">
                  <c:v>2.6</c:v>
                </c:pt>
                <c:pt idx="122">
                  <c:v>2.6</c:v>
                </c:pt>
                <c:pt idx="123">
                  <c:v>2.6</c:v>
                </c:pt>
                <c:pt idx="124">
                  <c:v>2.6</c:v>
                </c:pt>
                <c:pt idx="125">
                  <c:v>2.6</c:v>
                </c:pt>
                <c:pt idx="126">
                  <c:v>2.6</c:v>
                </c:pt>
                <c:pt idx="127">
                  <c:v>2.6</c:v>
                </c:pt>
                <c:pt idx="128">
                  <c:v>2.6</c:v>
                </c:pt>
                <c:pt idx="129">
                  <c:v>2.6</c:v>
                </c:pt>
                <c:pt idx="130">
                  <c:v>2.6</c:v>
                </c:pt>
                <c:pt idx="131">
                  <c:v>2.6</c:v>
                </c:pt>
                <c:pt idx="132">
                  <c:v>2.6</c:v>
                </c:pt>
                <c:pt idx="133">
                  <c:v>2.6</c:v>
                </c:pt>
                <c:pt idx="134">
                  <c:v>2.6</c:v>
                </c:pt>
                <c:pt idx="135">
                  <c:v>2.6</c:v>
                </c:pt>
                <c:pt idx="136">
                  <c:v>2.6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2.6</c:v>
                </c:pt>
                <c:pt idx="148">
                  <c:v>2.6</c:v>
                </c:pt>
                <c:pt idx="149">
                  <c:v>2.6</c:v>
                </c:pt>
                <c:pt idx="150">
                  <c:v>2.6</c:v>
                </c:pt>
                <c:pt idx="151">
                  <c:v>2.6</c:v>
                </c:pt>
                <c:pt idx="152">
                  <c:v>2.6</c:v>
                </c:pt>
                <c:pt idx="153">
                  <c:v>3.6</c:v>
                </c:pt>
                <c:pt idx="154">
                  <c:v>3.6</c:v>
                </c:pt>
                <c:pt idx="155">
                  <c:v>3.6</c:v>
                </c:pt>
                <c:pt idx="156">
                  <c:v>3.6</c:v>
                </c:pt>
                <c:pt idx="157">
                  <c:v>3.6</c:v>
                </c:pt>
                <c:pt idx="158">
                  <c:v>3.6</c:v>
                </c:pt>
                <c:pt idx="159">
                  <c:v>3.6</c:v>
                </c:pt>
                <c:pt idx="160">
                  <c:v>3.6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'1030'!$K$4:$K$184</c:f>
              <c:numCache>
                <c:formatCode>General</c:formatCode>
                <c:ptCount val="18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1</c:v>
                </c:pt>
                <c:pt idx="27">
                  <c:v>1.2</c:v>
                </c:pt>
                <c:pt idx="28">
                  <c:v>1.2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1.4</c:v>
                </c:pt>
                <c:pt idx="34">
                  <c:v>1.4</c:v>
                </c:pt>
                <c:pt idx="35">
                  <c:v>1.4</c:v>
                </c:pt>
                <c:pt idx="36">
                  <c:v>1.4</c:v>
                </c:pt>
                <c:pt idx="37">
                  <c:v>1.4</c:v>
                </c:pt>
                <c:pt idx="38">
                  <c:v>1.4</c:v>
                </c:pt>
                <c:pt idx="39">
                  <c:v>1.4</c:v>
                </c:pt>
                <c:pt idx="40">
                  <c:v>1.4</c:v>
                </c:pt>
                <c:pt idx="41">
                  <c:v>1.4</c:v>
                </c:pt>
                <c:pt idx="42">
                  <c:v>1.4</c:v>
                </c:pt>
                <c:pt idx="43">
                  <c:v>1.4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1.4</c:v>
                </c:pt>
                <c:pt idx="49">
                  <c:v>1.4</c:v>
                </c:pt>
                <c:pt idx="50">
                  <c:v>1.4</c:v>
                </c:pt>
                <c:pt idx="51">
                  <c:v>1.4</c:v>
                </c:pt>
                <c:pt idx="52">
                  <c:v>1.4</c:v>
                </c:pt>
                <c:pt idx="53">
                  <c:v>1.4</c:v>
                </c:pt>
                <c:pt idx="54">
                  <c:v>1.4</c:v>
                </c:pt>
                <c:pt idx="55">
                  <c:v>1.4</c:v>
                </c:pt>
                <c:pt idx="56">
                  <c:v>1.4</c:v>
                </c:pt>
                <c:pt idx="57">
                  <c:v>1.4</c:v>
                </c:pt>
                <c:pt idx="58">
                  <c:v>1.4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417008"/>
        <c:axId val="342417792"/>
      </c:lineChart>
      <c:catAx>
        <c:axId val="342417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2417792"/>
        <c:crosses val="autoZero"/>
        <c:auto val="1"/>
        <c:lblAlgn val="ctr"/>
        <c:lblOffset val="100"/>
        <c:noMultiLvlLbl val="0"/>
      </c:catAx>
      <c:valAx>
        <c:axId val="3424177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4241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Inlet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'1040'!$E$4:$E$34</c:f>
              <c:numCache>
                <c:formatCode>General</c:formatCode>
                <c:ptCount val="31"/>
                <c:pt idx="0">
                  <c:v>-1.07</c:v>
                </c:pt>
                <c:pt idx="1">
                  <c:v>-1.07</c:v>
                </c:pt>
                <c:pt idx="2">
                  <c:v>-0.99</c:v>
                </c:pt>
                <c:pt idx="3">
                  <c:v>-0.24</c:v>
                </c:pt>
                <c:pt idx="4">
                  <c:v>-0.99</c:v>
                </c:pt>
                <c:pt idx="5">
                  <c:v>-0.99</c:v>
                </c:pt>
                <c:pt idx="6">
                  <c:v>-0.99</c:v>
                </c:pt>
                <c:pt idx="7">
                  <c:v>-0.99</c:v>
                </c:pt>
                <c:pt idx="8">
                  <c:v>-0.99</c:v>
                </c:pt>
                <c:pt idx="9">
                  <c:v>-0.7</c:v>
                </c:pt>
                <c:pt idx="10">
                  <c:v>-1.03</c:v>
                </c:pt>
                <c:pt idx="11">
                  <c:v>-1.03</c:v>
                </c:pt>
                <c:pt idx="12">
                  <c:v>-1.03</c:v>
                </c:pt>
                <c:pt idx="13">
                  <c:v>-0.75</c:v>
                </c:pt>
                <c:pt idx="14">
                  <c:v>-0.75</c:v>
                </c:pt>
                <c:pt idx="15">
                  <c:v>-0.75</c:v>
                </c:pt>
                <c:pt idx="16">
                  <c:v>-0.75</c:v>
                </c:pt>
                <c:pt idx="17">
                  <c:v>-0.75</c:v>
                </c:pt>
                <c:pt idx="18">
                  <c:v>0.99</c:v>
                </c:pt>
                <c:pt idx="19">
                  <c:v>0.99</c:v>
                </c:pt>
                <c:pt idx="20">
                  <c:v>0.01</c:v>
                </c:pt>
                <c:pt idx="21">
                  <c:v>0.01</c:v>
                </c:pt>
                <c:pt idx="22">
                  <c:v>-0.7</c:v>
                </c:pt>
                <c:pt idx="23">
                  <c:v>-0.7</c:v>
                </c:pt>
                <c:pt idx="24">
                  <c:v>-0.69</c:v>
                </c:pt>
                <c:pt idx="25">
                  <c:v>-0.69</c:v>
                </c:pt>
                <c:pt idx="26">
                  <c:v>-0.7</c:v>
                </c:pt>
                <c:pt idx="27">
                  <c:v>1.18</c:v>
                </c:pt>
                <c:pt idx="28">
                  <c:v>2.39</c:v>
                </c:pt>
                <c:pt idx="29">
                  <c:v>2.39</c:v>
                </c:pt>
                <c:pt idx="30">
                  <c:v>2.39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'1040'!$F$4:$F$34</c:f>
              <c:numCache>
                <c:formatCode>General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-2.9</c:v>
                </c:pt>
                <c:pt idx="3">
                  <c:v>-2.9</c:v>
                </c:pt>
                <c:pt idx="4">
                  <c:v>-2.2000000000000002</c:v>
                </c:pt>
                <c:pt idx="5">
                  <c:v>-2.2000000000000002</c:v>
                </c:pt>
                <c:pt idx="6">
                  <c:v>-2.2000000000000002</c:v>
                </c:pt>
                <c:pt idx="7">
                  <c:v>-2.2000000000000002</c:v>
                </c:pt>
                <c:pt idx="8">
                  <c:v>-2.2000000000000002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0.2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'1040'!$G$4:$G$34</c:f>
              <c:numCache>
                <c:formatCode>General</c:formatCode>
                <c:ptCount val="31"/>
                <c:pt idx="0">
                  <c:v>-1.6</c:v>
                </c:pt>
                <c:pt idx="1">
                  <c:v>-1.6</c:v>
                </c:pt>
                <c:pt idx="2">
                  <c:v>-1.5</c:v>
                </c:pt>
                <c:pt idx="3">
                  <c:v>-1.5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1.3</c:v>
                </c:pt>
                <c:pt idx="28">
                  <c:v>2.2999999999999998</c:v>
                </c:pt>
                <c:pt idx="29">
                  <c:v>2.2999999999999998</c:v>
                </c:pt>
                <c:pt idx="30">
                  <c:v>2.2999999999999998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419360"/>
        <c:axId val="342412304"/>
      </c:lineChart>
      <c:catAx>
        <c:axId val="342419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2412304"/>
        <c:crosses val="autoZero"/>
        <c:auto val="1"/>
        <c:lblAlgn val="ctr"/>
        <c:lblOffset val="100"/>
        <c:noMultiLvlLbl val="0"/>
      </c:catAx>
      <c:valAx>
        <c:axId val="3424123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4241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Outlet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'1040'!$I$4:$I$34</c:f>
              <c:numCache>
                <c:formatCode>General</c:formatCode>
                <c:ptCount val="31"/>
                <c:pt idx="0">
                  <c:v>0.84</c:v>
                </c:pt>
                <c:pt idx="1">
                  <c:v>0.84</c:v>
                </c:pt>
                <c:pt idx="2">
                  <c:v>0.49</c:v>
                </c:pt>
                <c:pt idx="3">
                  <c:v>0.94</c:v>
                </c:pt>
                <c:pt idx="4">
                  <c:v>1.49</c:v>
                </c:pt>
                <c:pt idx="5">
                  <c:v>1.49</c:v>
                </c:pt>
                <c:pt idx="6">
                  <c:v>1.49</c:v>
                </c:pt>
                <c:pt idx="7">
                  <c:v>1.49</c:v>
                </c:pt>
                <c:pt idx="8">
                  <c:v>1.49</c:v>
                </c:pt>
                <c:pt idx="9">
                  <c:v>0.45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1.74</c:v>
                </c:pt>
                <c:pt idx="14">
                  <c:v>1.74</c:v>
                </c:pt>
                <c:pt idx="15">
                  <c:v>1.74</c:v>
                </c:pt>
                <c:pt idx="16">
                  <c:v>1.74</c:v>
                </c:pt>
                <c:pt idx="17">
                  <c:v>1.74</c:v>
                </c:pt>
                <c:pt idx="18">
                  <c:v>2.1</c:v>
                </c:pt>
                <c:pt idx="19">
                  <c:v>2.1</c:v>
                </c:pt>
                <c:pt idx="20">
                  <c:v>1.49</c:v>
                </c:pt>
                <c:pt idx="21">
                  <c:v>1.49</c:v>
                </c:pt>
                <c:pt idx="22">
                  <c:v>0.44</c:v>
                </c:pt>
                <c:pt idx="23">
                  <c:v>0.44</c:v>
                </c:pt>
                <c:pt idx="24">
                  <c:v>0.44</c:v>
                </c:pt>
                <c:pt idx="25">
                  <c:v>0.44</c:v>
                </c:pt>
                <c:pt idx="26">
                  <c:v>0.47</c:v>
                </c:pt>
                <c:pt idx="27">
                  <c:v>2.95</c:v>
                </c:pt>
                <c:pt idx="28">
                  <c:v>3.49</c:v>
                </c:pt>
                <c:pt idx="29">
                  <c:v>3.49</c:v>
                </c:pt>
                <c:pt idx="30">
                  <c:v>3.49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'1040'!$J$4:$J$34</c:f>
              <c:numCache>
                <c:formatCode>General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0.5</c:v>
                </c:pt>
                <c:pt idx="3">
                  <c:v>0.5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2.5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'1040'!$K$4:$K$34</c:f>
              <c:numCache>
                <c:formatCode>General</c:formatCode>
                <c:ptCount val="31"/>
                <c:pt idx="0">
                  <c:v>0.9</c:v>
                </c:pt>
                <c:pt idx="1">
                  <c:v>0.9</c:v>
                </c:pt>
                <c:pt idx="2">
                  <c:v>1</c:v>
                </c:pt>
                <c:pt idx="3">
                  <c:v>1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18720"/>
        <c:axId val="399921856"/>
      </c:lineChart>
      <c:catAx>
        <c:axId val="399918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921856"/>
        <c:crosses val="autoZero"/>
        <c:auto val="1"/>
        <c:lblAlgn val="ctr"/>
        <c:lblOffset val="100"/>
        <c:noMultiLvlLbl val="0"/>
      </c:catAx>
      <c:valAx>
        <c:axId val="3999218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999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Inlet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'1050'!$E$4:$E$29</c:f>
              <c:numCache>
                <c:formatCode>General</c:formatCode>
                <c:ptCount val="26"/>
                <c:pt idx="0">
                  <c:v>-0.8</c:v>
                </c:pt>
                <c:pt idx="1">
                  <c:v>-0.8</c:v>
                </c:pt>
                <c:pt idx="2">
                  <c:v>-0.99</c:v>
                </c:pt>
                <c:pt idx="3">
                  <c:v>-0.99</c:v>
                </c:pt>
                <c:pt idx="4">
                  <c:v>-0.99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-0.01</c:v>
                </c:pt>
                <c:pt idx="20">
                  <c:v>-0.79</c:v>
                </c:pt>
                <c:pt idx="21">
                  <c:v>-0.79</c:v>
                </c:pt>
                <c:pt idx="22">
                  <c:v>-1.19</c:v>
                </c:pt>
                <c:pt idx="23">
                  <c:v>-1.1000000000000001</c:v>
                </c:pt>
                <c:pt idx="24">
                  <c:v>-1.1000000000000001</c:v>
                </c:pt>
                <c:pt idx="25">
                  <c:v>1.5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'1050'!$F$4:$F$29</c:f>
              <c:numCache>
                <c:formatCode>General</c:formatCode>
                <c:ptCount val="26"/>
                <c:pt idx="0">
                  <c:v>-2.2000000000000002</c:v>
                </c:pt>
                <c:pt idx="1">
                  <c:v>-2.2000000000000002</c:v>
                </c:pt>
                <c:pt idx="2">
                  <c:v>-1.8</c:v>
                </c:pt>
                <c:pt idx="3">
                  <c:v>-1.8</c:v>
                </c:pt>
                <c:pt idx="4">
                  <c:v>-1.8</c:v>
                </c:pt>
                <c:pt idx="5">
                  <c:v>-1.6</c:v>
                </c:pt>
                <c:pt idx="6">
                  <c:v>-1.6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-1.6</c:v>
                </c:pt>
                <c:pt idx="18">
                  <c:v>-1.6</c:v>
                </c:pt>
                <c:pt idx="19">
                  <c:v>-1.6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0.3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'1050'!$G$4:$G$29</c:f>
              <c:numCache>
                <c:formatCode>General</c:formatCode>
                <c:ptCount val="26"/>
                <c:pt idx="0">
                  <c:v>-1.3</c:v>
                </c:pt>
                <c:pt idx="1">
                  <c:v>-1.3</c:v>
                </c:pt>
                <c:pt idx="2">
                  <c:v>-0.9</c:v>
                </c:pt>
                <c:pt idx="3">
                  <c:v>-0.9</c:v>
                </c:pt>
                <c:pt idx="4">
                  <c:v>-0.9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14408"/>
        <c:axId val="399917152"/>
      </c:lineChart>
      <c:catAx>
        <c:axId val="399914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917152"/>
        <c:crosses val="autoZero"/>
        <c:auto val="1"/>
        <c:lblAlgn val="ctr"/>
        <c:lblOffset val="100"/>
        <c:noMultiLvlLbl val="0"/>
      </c:catAx>
      <c:valAx>
        <c:axId val="399917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9991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Outlet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'1050'!$I$4:$I$29</c:f>
              <c:numCache>
                <c:formatCode>General</c:formatCode>
                <c:ptCount val="26"/>
                <c:pt idx="0">
                  <c:v>-0.1</c:v>
                </c:pt>
                <c:pt idx="1">
                  <c:v>-0.1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0.81</c:v>
                </c:pt>
                <c:pt idx="6">
                  <c:v>0.81</c:v>
                </c:pt>
                <c:pt idx="7">
                  <c:v>0.81</c:v>
                </c:pt>
                <c:pt idx="8">
                  <c:v>0.81</c:v>
                </c:pt>
                <c:pt idx="9">
                  <c:v>0.81</c:v>
                </c:pt>
                <c:pt idx="10">
                  <c:v>0.81</c:v>
                </c:pt>
                <c:pt idx="11">
                  <c:v>0.81</c:v>
                </c:pt>
                <c:pt idx="12">
                  <c:v>0.81</c:v>
                </c:pt>
                <c:pt idx="13">
                  <c:v>0.81</c:v>
                </c:pt>
                <c:pt idx="14">
                  <c:v>0.81</c:v>
                </c:pt>
                <c:pt idx="15">
                  <c:v>0.81</c:v>
                </c:pt>
                <c:pt idx="16">
                  <c:v>0.81</c:v>
                </c:pt>
                <c:pt idx="17">
                  <c:v>0.81</c:v>
                </c:pt>
                <c:pt idx="18">
                  <c:v>0.81</c:v>
                </c:pt>
                <c:pt idx="19">
                  <c:v>0.79</c:v>
                </c:pt>
                <c:pt idx="20">
                  <c:v>1.01</c:v>
                </c:pt>
                <c:pt idx="21">
                  <c:v>1.01</c:v>
                </c:pt>
                <c:pt idx="22">
                  <c:v>1.19</c:v>
                </c:pt>
                <c:pt idx="23">
                  <c:v>1.2</c:v>
                </c:pt>
                <c:pt idx="24">
                  <c:v>1.2</c:v>
                </c:pt>
                <c:pt idx="25">
                  <c:v>3.05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'1050'!$J$4:$J$29</c:f>
              <c:numCache>
                <c:formatCode>General</c:formatCode>
                <c:ptCount val="26"/>
                <c:pt idx="0">
                  <c:v>-0.2</c:v>
                </c:pt>
                <c:pt idx="1">
                  <c:v>-0.2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2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'1050'!$K$4:$K$29</c:f>
              <c:numCache>
                <c:formatCode>General</c:formatCode>
                <c:ptCount val="26"/>
                <c:pt idx="0">
                  <c:v>0.45</c:v>
                </c:pt>
                <c:pt idx="1">
                  <c:v>0.45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20680"/>
        <c:axId val="399917544"/>
      </c:lineChart>
      <c:catAx>
        <c:axId val="399920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917544"/>
        <c:crosses val="autoZero"/>
        <c:auto val="1"/>
        <c:lblAlgn val="ctr"/>
        <c:lblOffset val="100"/>
        <c:noMultiLvlLbl val="0"/>
      </c:catAx>
      <c:valAx>
        <c:axId val="3999175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9992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Inlet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'1060'!$E$4:$E$33</c:f>
              <c:numCache>
                <c:formatCode>General</c:formatCode>
                <c:ptCount val="30"/>
                <c:pt idx="0">
                  <c:v>-1.5</c:v>
                </c:pt>
                <c:pt idx="1">
                  <c:v>-1.5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-1.6</c:v>
                </c:pt>
                <c:pt idx="21">
                  <c:v>-1.6</c:v>
                </c:pt>
                <c:pt idx="22">
                  <c:v>-0.7</c:v>
                </c:pt>
                <c:pt idx="23">
                  <c:v>-0.7</c:v>
                </c:pt>
                <c:pt idx="24">
                  <c:v>-0.7</c:v>
                </c:pt>
                <c:pt idx="25">
                  <c:v>-0.7</c:v>
                </c:pt>
                <c:pt idx="26">
                  <c:v>-0.7</c:v>
                </c:pt>
                <c:pt idx="27">
                  <c:v>-0.7</c:v>
                </c:pt>
                <c:pt idx="28">
                  <c:v>-1</c:v>
                </c:pt>
                <c:pt idx="29">
                  <c:v>-1.1000000000000001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'1060'!$F$4:$F$33</c:f>
              <c:numCache>
                <c:formatCode>General</c:formatCode>
                <c:ptCount val="30"/>
                <c:pt idx="0">
                  <c:v>-2.2000000000000002</c:v>
                </c:pt>
                <c:pt idx="1">
                  <c:v>-2.2000000000000002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-1.9</c:v>
                </c:pt>
                <c:pt idx="12">
                  <c:v>-1.9</c:v>
                </c:pt>
                <c:pt idx="13">
                  <c:v>-1.9</c:v>
                </c:pt>
                <c:pt idx="14">
                  <c:v>-1.9</c:v>
                </c:pt>
                <c:pt idx="15">
                  <c:v>-1.9</c:v>
                </c:pt>
                <c:pt idx="16">
                  <c:v>-1.9</c:v>
                </c:pt>
                <c:pt idx="17">
                  <c:v>-1.9</c:v>
                </c:pt>
                <c:pt idx="18">
                  <c:v>-1.9</c:v>
                </c:pt>
                <c:pt idx="19">
                  <c:v>-1.9</c:v>
                </c:pt>
                <c:pt idx="20">
                  <c:v>-1.75</c:v>
                </c:pt>
                <c:pt idx="21">
                  <c:v>-1.75</c:v>
                </c:pt>
                <c:pt idx="22">
                  <c:v>-1.6</c:v>
                </c:pt>
                <c:pt idx="23">
                  <c:v>-1.6</c:v>
                </c:pt>
                <c:pt idx="24">
                  <c:v>-1.6</c:v>
                </c:pt>
                <c:pt idx="25">
                  <c:v>-1.6</c:v>
                </c:pt>
                <c:pt idx="26">
                  <c:v>-1.6</c:v>
                </c:pt>
                <c:pt idx="27">
                  <c:v>-1.6</c:v>
                </c:pt>
                <c:pt idx="28">
                  <c:v>-1.55</c:v>
                </c:pt>
                <c:pt idx="29">
                  <c:v>-1.5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'1060'!$G$4:$G$33</c:f>
              <c:numCache>
                <c:formatCode>General</c:formatCode>
                <c:ptCount val="30"/>
                <c:pt idx="0">
                  <c:v>-1.3</c:v>
                </c:pt>
                <c:pt idx="1">
                  <c:v>-1.3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-0.9</c:v>
                </c:pt>
                <c:pt idx="12">
                  <c:v>-0.9</c:v>
                </c:pt>
                <c:pt idx="13">
                  <c:v>-0.9</c:v>
                </c:pt>
                <c:pt idx="14">
                  <c:v>-0.9</c:v>
                </c:pt>
                <c:pt idx="15">
                  <c:v>-0.9</c:v>
                </c:pt>
                <c:pt idx="16">
                  <c:v>-0.9</c:v>
                </c:pt>
                <c:pt idx="17">
                  <c:v>-0.9</c:v>
                </c:pt>
                <c:pt idx="18">
                  <c:v>-0.9</c:v>
                </c:pt>
                <c:pt idx="19">
                  <c:v>-0.9</c:v>
                </c:pt>
                <c:pt idx="20">
                  <c:v>-0.75</c:v>
                </c:pt>
                <c:pt idx="21">
                  <c:v>-0.75</c:v>
                </c:pt>
                <c:pt idx="22">
                  <c:v>-0.7</c:v>
                </c:pt>
                <c:pt idx="23">
                  <c:v>-0.7</c:v>
                </c:pt>
                <c:pt idx="24">
                  <c:v>-0.7</c:v>
                </c:pt>
                <c:pt idx="25">
                  <c:v>-0.7</c:v>
                </c:pt>
                <c:pt idx="26">
                  <c:v>-0.7</c:v>
                </c:pt>
                <c:pt idx="27">
                  <c:v>-0.7</c:v>
                </c:pt>
                <c:pt idx="28">
                  <c:v>-0.65</c:v>
                </c:pt>
                <c:pt idx="29">
                  <c:v>-0.6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17936"/>
        <c:axId val="399921072"/>
      </c:lineChart>
      <c:catAx>
        <c:axId val="399917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921072"/>
        <c:crosses val="autoZero"/>
        <c:auto val="1"/>
        <c:lblAlgn val="ctr"/>
        <c:lblOffset val="100"/>
        <c:noMultiLvlLbl val="0"/>
      </c:catAx>
      <c:valAx>
        <c:axId val="3999210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9991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Outlet Value</a:t>
            </a:r>
          </a:p>
        </c:rich>
      </c:tx>
      <c:layout>
        <c:manualLayout>
          <c:xMode val="edge"/>
          <c:yMode val="edge"/>
          <c:x val="0.41876257967754021"/>
          <c:y val="2.8712423040249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tint val="65000"/>
                </a:schemeClr>
              </a:solidFill>
            </a:ln>
            <a:effectLst>
              <a:glow rad="139700">
                <a:schemeClr val="accent2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'1060'!$I$4:$I$33</c:f>
              <c:numCache>
                <c:formatCode>General</c:formatCode>
                <c:ptCount val="30"/>
                <c:pt idx="0">
                  <c:v>0.25</c:v>
                </c:pt>
                <c:pt idx="1">
                  <c:v>0.25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0.5</c:v>
                </c:pt>
                <c:pt idx="21">
                  <c:v>0.5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0.75</c:v>
                </c:pt>
                <c:pt idx="29">
                  <c:v>0.9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'1060'!$J$4:$J$33</c:f>
              <c:numCache>
                <c:formatCode>General</c:formatCode>
                <c:ptCount val="30"/>
                <c:pt idx="0">
                  <c:v>-0.1</c:v>
                </c:pt>
                <c:pt idx="1">
                  <c:v>-0.1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0.15</c:v>
                </c:pt>
                <c:pt idx="12">
                  <c:v>0.15</c:v>
                </c:pt>
                <c:pt idx="13">
                  <c:v>0.15</c:v>
                </c:pt>
                <c:pt idx="14">
                  <c:v>0.15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0.3</c:v>
                </c:pt>
                <c:pt idx="21">
                  <c:v>0.3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0.45</c:v>
                </c:pt>
                <c:pt idx="29">
                  <c:v>0.5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accent2">
                  <a:shade val="65000"/>
                </a:schemeClr>
              </a:solidFill>
            </a:ln>
            <a:effectLst>
              <a:glow rad="139700">
                <a:schemeClr val="accent2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'1060'!$K$4:$K$33</c:f>
              <c:numCache>
                <c:formatCode>General</c:formatCode>
                <c:ptCount val="30"/>
                <c:pt idx="0">
                  <c:v>0.4</c:v>
                </c:pt>
                <c:pt idx="1">
                  <c:v>0.4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0.75</c:v>
                </c:pt>
                <c:pt idx="21">
                  <c:v>0.75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0.95</c:v>
                </c:pt>
                <c:pt idx="2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914800"/>
        <c:axId val="399919112"/>
      </c:lineChart>
      <c:catAx>
        <c:axId val="39991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919112"/>
        <c:crosses val="autoZero"/>
        <c:auto val="1"/>
        <c:lblAlgn val="ctr"/>
        <c:lblOffset val="100"/>
        <c:noMultiLvlLbl val="0"/>
      </c:catAx>
      <c:valAx>
        <c:axId val="3999191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39991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3</xdr:row>
          <xdr:rowOff>0</xdr:rowOff>
        </xdr:from>
        <xdr:to>
          <xdr:col>18</xdr:col>
          <xdr:colOff>504825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Marking the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457200</xdr:colOff>
          <xdr:row>4</xdr:row>
          <xdr:rowOff>171450</xdr:rowOff>
        </xdr:from>
        <xdr:to>
          <xdr:col>18</xdr:col>
          <xdr:colOff>533400</xdr:colOff>
          <xdr:row>6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247650</xdr:colOff>
      <xdr:row>6</xdr:row>
      <xdr:rowOff>109537</xdr:rowOff>
    </xdr:from>
    <xdr:to>
      <xdr:col>37</xdr:col>
      <xdr:colOff>171450</xdr:colOff>
      <xdr:row>24</xdr:row>
      <xdr:rowOff>28575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257175</xdr:colOff>
      <xdr:row>24</xdr:row>
      <xdr:rowOff>95250</xdr:rowOff>
    </xdr:from>
    <xdr:to>
      <xdr:col>37</xdr:col>
      <xdr:colOff>180975</xdr:colOff>
      <xdr:row>43</xdr:row>
      <xdr:rowOff>14288</xdr:rowOff>
    </xdr:to>
    <xdr:graphicFrame macro="">
      <xdr:nvGraphicFramePr>
        <xdr:cNvPr id="5" name="Graf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7</xdr:row>
          <xdr:rowOff>85725</xdr:rowOff>
        </xdr:from>
        <xdr:to>
          <xdr:col>18</xdr:col>
          <xdr:colOff>542925</xdr:colOff>
          <xdr:row>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7</xdr:row>
          <xdr:rowOff>85725</xdr:rowOff>
        </xdr:from>
        <xdr:to>
          <xdr:col>18</xdr:col>
          <xdr:colOff>542925</xdr:colOff>
          <xdr:row>8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</xdr:row>
          <xdr:rowOff>228600</xdr:rowOff>
        </xdr:from>
        <xdr:to>
          <xdr:col>19</xdr:col>
          <xdr:colOff>276225</xdr:colOff>
          <xdr:row>2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Marking the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4</xdr:row>
          <xdr:rowOff>19050</xdr:rowOff>
        </xdr:from>
        <xdr:to>
          <xdr:col>19</xdr:col>
          <xdr:colOff>304800</xdr:colOff>
          <xdr:row>5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247650</xdr:colOff>
      <xdr:row>6</xdr:row>
      <xdr:rowOff>109537</xdr:rowOff>
    </xdr:from>
    <xdr:to>
      <xdr:col>37</xdr:col>
      <xdr:colOff>171450</xdr:colOff>
      <xdr:row>24</xdr:row>
      <xdr:rowOff>28575</xdr:rowOff>
    </xdr:to>
    <xdr:graphicFrame macro="">
      <xdr:nvGraphicFramePr>
        <xdr:cNvPr id="8" name="Graf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257175</xdr:colOff>
      <xdr:row>24</xdr:row>
      <xdr:rowOff>95250</xdr:rowOff>
    </xdr:from>
    <xdr:to>
      <xdr:col>37</xdr:col>
      <xdr:colOff>180975</xdr:colOff>
      <xdr:row>43</xdr:row>
      <xdr:rowOff>14288</xdr:rowOff>
    </xdr:to>
    <xdr:graphicFrame macro="">
      <xdr:nvGraphicFramePr>
        <xdr:cNvPr id="9" name="Graf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6</xdr:row>
          <xdr:rowOff>85725</xdr:rowOff>
        </xdr:from>
        <xdr:to>
          <xdr:col>18</xdr:col>
          <xdr:colOff>542925</xdr:colOff>
          <xdr:row>7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6</xdr:row>
          <xdr:rowOff>85725</xdr:rowOff>
        </xdr:from>
        <xdr:to>
          <xdr:col>18</xdr:col>
          <xdr:colOff>542925</xdr:colOff>
          <xdr:row>7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</xdr:row>
          <xdr:rowOff>228600</xdr:rowOff>
        </xdr:from>
        <xdr:to>
          <xdr:col>19</xdr:col>
          <xdr:colOff>276225</xdr:colOff>
          <xdr:row>2</xdr:row>
          <xdr:rowOff>247650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Marking the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</xdr:row>
          <xdr:rowOff>19050</xdr:rowOff>
        </xdr:from>
        <xdr:to>
          <xdr:col>19</xdr:col>
          <xdr:colOff>304800</xdr:colOff>
          <xdr:row>4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247650</xdr:colOff>
      <xdr:row>5</xdr:row>
      <xdr:rowOff>109537</xdr:rowOff>
    </xdr:from>
    <xdr:to>
      <xdr:col>37</xdr:col>
      <xdr:colOff>171450</xdr:colOff>
      <xdr:row>26</xdr:row>
      <xdr:rowOff>28575</xdr:rowOff>
    </xdr:to>
    <xdr:graphicFrame macro="">
      <xdr:nvGraphicFramePr>
        <xdr:cNvPr id="6" name="Graf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257175</xdr:colOff>
      <xdr:row>26</xdr:row>
      <xdr:rowOff>95250</xdr:rowOff>
    </xdr:from>
    <xdr:to>
      <xdr:col>37</xdr:col>
      <xdr:colOff>180975</xdr:colOff>
      <xdr:row>45</xdr:row>
      <xdr:rowOff>14288</xdr:rowOff>
    </xdr:to>
    <xdr:graphicFrame macro="">
      <xdr:nvGraphicFramePr>
        <xdr:cNvPr id="7" name="Graf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5</xdr:row>
          <xdr:rowOff>85725</xdr:rowOff>
        </xdr:from>
        <xdr:to>
          <xdr:col>18</xdr:col>
          <xdr:colOff>542925</xdr:colOff>
          <xdr:row>6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5</xdr:row>
          <xdr:rowOff>85725</xdr:rowOff>
        </xdr:from>
        <xdr:to>
          <xdr:col>18</xdr:col>
          <xdr:colOff>542925</xdr:colOff>
          <xdr:row>6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</xdr:row>
          <xdr:rowOff>228600</xdr:rowOff>
        </xdr:from>
        <xdr:to>
          <xdr:col>19</xdr:col>
          <xdr:colOff>276225</xdr:colOff>
          <xdr:row>2</xdr:row>
          <xdr:rowOff>247650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Marking the wrong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</xdr:row>
          <xdr:rowOff>0</xdr:rowOff>
        </xdr:from>
        <xdr:to>
          <xdr:col>19</xdr:col>
          <xdr:colOff>304800</xdr:colOff>
          <xdr:row>4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Unmarking of wrong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247650</xdr:colOff>
      <xdr:row>4</xdr:row>
      <xdr:rowOff>109537</xdr:rowOff>
    </xdr:from>
    <xdr:to>
      <xdr:col>37</xdr:col>
      <xdr:colOff>171450</xdr:colOff>
      <xdr:row>25</xdr:row>
      <xdr:rowOff>28575</xdr:rowOff>
    </xdr:to>
    <xdr:graphicFrame macro="">
      <xdr:nvGraphicFramePr>
        <xdr:cNvPr id="6" name="Graf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257175</xdr:colOff>
      <xdr:row>25</xdr:row>
      <xdr:rowOff>95250</xdr:rowOff>
    </xdr:from>
    <xdr:to>
      <xdr:col>37</xdr:col>
      <xdr:colOff>180975</xdr:colOff>
      <xdr:row>44</xdr:row>
      <xdr:rowOff>14288</xdr:rowOff>
    </xdr:to>
    <xdr:graphicFrame macro="">
      <xdr:nvGraphicFramePr>
        <xdr:cNvPr id="7" name="Graf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1">
    <pageSetUpPr fitToPage="1"/>
  </sheetPr>
  <dimension ref="A1:AM184"/>
  <sheetViews>
    <sheetView tabSelected="1" workbookViewId="0">
      <selection activeCell="O30" sqref="O30"/>
    </sheetView>
  </sheetViews>
  <sheetFormatPr defaultRowHeight="15" x14ac:dyDescent="0.25"/>
  <cols>
    <col min="1" max="1" width="26.140625" style="3" customWidth="1"/>
    <col min="2" max="2" width="16.5703125" style="3" customWidth="1"/>
    <col min="3" max="3" width="13.85546875" style="3" customWidth="1"/>
    <col min="4" max="4" width="12.5703125" style="10" customWidth="1"/>
    <col min="5" max="5" width="12.5703125" style="30" customWidth="1"/>
    <col min="6" max="6" width="9.42578125" style="18" customWidth="1"/>
    <col min="7" max="7" width="10.5703125" style="18" customWidth="1"/>
    <col min="8" max="8" width="12.5703125" style="11" customWidth="1"/>
    <col min="9" max="9" width="12.5703125" style="32" customWidth="1"/>
    <col min="10" max="10" width="10.28515625" style="21" customWidth="1"/>
    <col min="11" max="11" width="10.42578125" style="21" customWidth="1"/>
    <col min="12" max="12" width="9.140625" style="3"/>
    <col min="13" max="13" width="16" style="22" customWidth="1"/>
    <col min="14" max="14" width="9.140625" style="3"/>
    <col min="15" max="15" width="16.7109375" style="23" customWidth="1"/>
    <col min="16" max="16384" width="9.140625" style="3"/>
  </cols>
  <sheetData>
    <row r="1" spans="1:39" ht="22.5" customHeight="1" x14ac:dyDescent="0.3">
      <c r="A1" s="2" t="s">
        <v>12</v>
      </c>
      <c r="B1" s="2" t="s">
        <v>9</v>
      </c>
      <c r="C1" s="2" t="s">
        <v>8</v>
      </c>
      <c r="D1" s="87" t="s">
        <v>6</v>
      </c>
      <c r="E1" s="87"/>
      <c r="F1" s="87"/>
      <c r="G1" s="87"/>
      <c r="H1" s="84" t="s">
        <v>7</v>
      </c>
      <c r="I1" s="85"/>
      <c r="J1" s="85"/>
      <c r="K1" s="86"/>
      <c r="M1" s="26" t="s">
        <v>10</v>
      </c>
      <c r="O1" s="27" t="s">
        <v>11</v>
      </c>
    </row>
    <row r="2" spans="1:39" ht="22.5" customHeight="1" x14ac:dyDescent="0.3">
      <c r="A2" s="2"/>
      <c r="B2" s="4"/>
      <c r="C2" s="4"/>
      <c r="D2" s="5" t="s">
        <v>2</v>
      </c>
      <c r="E2" s="13" t="s">
        <v>0</v>
      </c>
      <c r="F2" s="81" t="s">
        <v>3</v>
      </c>
      <c r="G2" s="81"/>
      <c r="H2" s="6" t="s">
        <v>2</v>
      </c>
      <c r="I2" s="14" t="s">
        <v>1</v>
      </c>
      <c r="J2" s="82" t="s">
        <v>3</v>
      </c>
      <c r="K2" s="83"/>
      <c r="M2" s="24"/>
      <c r="N2"/>
      <c r="O2" s="25"/>
    </row>
    <row r="3" spans="1:39" ht="22.5" customHeight="1" x14ac:dyDescent="0.3">
      <c r="A3" s="2"/>
      <c r="B3" s="4"/>
      <c r="C3" s="4"/>
      <c r="D3" s="5"/>
      <c r="E3" s="13"/>
      <c r="F3" s="28" t="s">
        <v>4</v>
      </c>
      <c r="G3" s="28" t="s">
        <v>5</v>
      </c>
      <c r="H3" s="6"/>
      <c r="I3" s="14"/>
      <c r="J3" s="19" t="s">
        <v>4</v>
      </c>
      <c r="K3" s="19" t="s">
        <v>5</v>
      </c>
      <c r="M3" s="24"/>
      <c r="N3"/>
      <c r="O3" s="25"/>
    </row>
    <row r="4" spans="1:39" x14ac:dyDescent="0.25">
      <c r="A4" s="29">
        <v>1020765</v>
      </c>
      <c r="B4" s="29">
        <v>0.8</v>
      </c>
      <c r="C4" s="29">
        <v>405</v>
      </c>
      <c r="D4" s="8"/>
      <c r="E4" s="34">
        <v>-1</v>
      </c>
      <c r="F4" s="31">
        <v>-1.6</v>
      </c>
      <c r="G4" s="31">
        <v>-0.75</v>
      </c>
      <c r="H4" s="9"/>
      <c r="I4" s="35">
        <v>0.75</v>
      </c>
      <c r="J4" s="33">
        <v>0.4</v>
      </c>
      <c r="K4" s="33">
        <v>0.9</v>
      </c>
      <c r="M4" s="24"/>
      <c r="O4" s="25"/>
    </row>
    <row r="5" spans="1:39" x14ac:dyDescent="0.25">
      <c r="A5" s="29">
        <v>1020765</v>
      </c>
      <c r="B5" s="29">
        <v>0.8</v>
      </c>
      <c r="C5" s="29">
        <v>405</v>
      </c>
      <c r="D5" s="8"/>
      <c r="E5" s="34">
        <v>-1</v>
      </c>
      <c r="F5" s="31">
        <v>-1.6</v>
      </c>
      <c r="G5" s="31">
        <v>-0.75</v>
      </c>
      <c r="H5" s="9"/>
      <c r="I5" s="35">
        <v>0.75</v>
      </c>
      <c r="J5" s="33">
        <v>0.4</v>
      </c>
      <c r="K5" s="33">
        <v>0.9</v>
      </c>
      <c r="M5" s="24"/>
      <c r="O5" s="25"/>
      <c r="AM5" s="37" t="s">
        <v>13</v>
      </c>
    </row>
    <row r="6" spans="1:39" x14ac:dyDescent="0.25">
      <c r="A6" s="29">
        <v>1020765</v>
      </c>
      <c r="B6" s="29">
        <v>0.8</v>
      </c>
      <c r="C6" s="29">
        <v>405</v>
      </c>
      <c r="D6" s="8"/>
      <c r="E6" s="34">
        <v>-1</v>
      </c>
      <c r="F6" s="31">
        <v>-1.6</v>
      </c>
      <c r="G6" s="31">
        <v>-0.75</v>
      </c>
      <c r="H6" s="9"/>
      <c r="I6" s="35">
        <v>0.75</v>
      </c>
      <c r="J6" s="33">
        <v>0.4</v>
      </c>
      <c r="K6" s="33">
        <v>0.9</v>
      </c>
      <c r="M6" s="24"/>
      <c r="O6" s="25"/>
    </row>
    <row r="7" spans="1:39" x14ac:dyDescent="0.25">
      <c r="A7" s="29">
        <v>1020816</v>
      </c>
      <c r="B7" s="29">
        <v>0.9</v>
      </c>
      <c r="C7" s="29">
        <v>410</v>
      </c>
      <c r="D7" s="8"/>
      <c r="E7" s="34">
        <v>-0.7</v>
      </c>
      <c r="F7" s="31">
        <v>-1.6</v>
      </c>
      <c r="G7" s="31">
        <v>-0.75</v>
      </c>
      <c r="H7" s="9"/>
      <c r="I7" s="35">
        <v>0.93</v>
      </c>
      <c r="J7" s="33">
        <v>0.4</v>
      </c>
      <c r="K7" s="33">
        <v>0.9</v>
      </c>
      <c r="M7" s="24"/>
      <c r="O7" s="25"/>
    </row>
    <row r="8" spans="1:39" x14ac:dyDescent="0.25">
      <c r="A8" s="29">
        <v>1020816</v>
      </c>
      <c r="B8" s="29">
        <v>0.9</v>
      </c>
      <c r="C8" s="29">
        <v>410</v>
      </c>
      <c r="D8" s="8"/>
      <c r="E8" s="34">
        <v>-0.69</v>
      </c>
      <c r="F8" s="31">
        <v>-1.6</v>
      </c>
      <c r="G8" s="31">
        <v>-0.75</v>
      </c>
      <c r="H8" s="9"/>
      <c r="I8" s="35">
        <v>0.94</v>
      </c>
      <c r="J8" s="33">
        <v>0.4</v>
      </c>
      <c r="K8" s="33">
        <v>0.9</v>
      </c>
      <c r="M8" s="24"/>
      <c r="O8" s="25"/>
    </row>
    <row r="9" spans="1:39" x14ac:dyDescent="0.25">
      <c r="A9" s="29">
        <v>1020816</v>
      </c>
      <c r="B9" s="29">
        <v>0.9</v>
      </c>
      <c r="C9" s="29">
        <v>410</v>
      </c>
      <c r="D9" s="8"/>
      <c r="E9" s="34">
        <v>-0.69</v>
      </c>
      <c r="F9" s="31">
        <v>-1.6</v>
      </c>
      <c r="G9" s="31">
        <v>-0.75</v>
      </c>
      <c r="H9" s="9"/>
      <c r="I9" s="35">
        <v>0.94</v>
      </c>
      <c r="J9" s="33">
        <v>0.4</v>
      </c>
      <c r="K9" s="33">
        <v>0.9</v>
      </c>
      <c r="M9" s="24"/>
      <c r="O9" s="25"/>
    </row>
    <row r="10" spans="1:39" x14ac:dyDescent="0.25">
      <c r="A10" s="29">
        <v>1020816</v>
      </c>
      <c r="B10" s="29">
        <v>0.9</v>
      </c>
      <c r="C10" s="29">
        <v>410</v>
      </c>
      <c r="D10" s="8"/>
      <c r="E10" s="34">
        <v>-0.69</v>
      </c>
      <c r="F10" s="31">
        <v>-1.6</v>
      </c>
      <c r="G10" s="31">
        <v>-0.75</v>
      </c>
      <c r="H10" s="9"/>
      <c r="I10" s="35">
        <v>0.94</v>
      </c>
      <c r="J10" s="33">
        <v>0.4</v>
      </c>
      <c r="K10" s="33">
        <v>0.9</v>
      </c>
      <c r="M10" s="24"/>
      <c r="O10" s="25"/>
    </row>
    <row r="11" spans="1:39" x14ac:dyDescent="0.25">
      <c r="A11" s="29">
        <v>1020816</v>
      </c>
      <c r="B11" s="29">
        <v>0.9</v>
      </c>
      <c r="C11" s="29">
        <v>410</v>
      </c>
      <c r="D11" s="8"/>
      <c r="E11" s="34">
        <v>-0.69</v>
      </c>
      <c r="F11" s="31">
        <v>-1.6</v>
      </c>
      <c r="G11" s="31">
        <v>-0.75</v>
      </c>
      <c r="H11" s="9"/>
      <c r="I11" s="35">
        <v>0.94</v>
      </c>
      <c r="J11" s="33">
        <v>0.4</v>
      </c>
      <c r="K11" s="33">
        <v>0.9</v>
      </c>
      <c r="M11" s="24"/>
      <c r="O11" s="25"/>
    </row>
    <row r="12" spans="1:39" x14ac:dyDescent="0.25">
      <c r="A12" s="29">
        <v>1020816</v>
      </c>
      <c r="B12" s="29">
        <v>0.9</v>
      </c>
      <c r="C12" s="29">
        <v>410</v>
      </c>
      <c r="D12" s="8"/>
      <c r="E12" s="34">
        <v>-0.69</v>
      </c>
      <c r="F12" s="31">
        <v>-1.6</v>
      </c>
      <c r="G12" s="31">
        <v>-0.75</v>
      </c>
      <c r="H12" s="9"/>
      <c r="I12" s="35">
        <v>0.94</v>
      </c>
      <c r="J12" s="33">
        <v>0.4</v>
      </c>
      <c r="K12" s="33">
        <v>0.9</v>
      </c>
      <c r="M12" s="24"/>
      <c r="O12" s="25"/>
    </row>
    <row r="13" spans="1:39" x14ac:dyDescent="0.25">
      <c r="A13" s="29">
        <v>1020816</v>
      </c>
      <c r="B13" s="29">
        <v>0.9</v>
      </c>
      <c r="C13" s="29">
        <v>410</v>
      </c>
      <c r="D13" s="8"/>
      <c r="E13" s="34">
        <v>-0.69</v>
      </c>
      <c r="F13" s="31">
        <v>-1.6</v>
      </c>
      <c r="G13" s="31">
        <v>-0.75</v>
      </c>
      <c r="H13" s="9"/>
      <c r="I13" s="35">
        <v>0.94</v>
      </c>
      <c r="J13" s="33">
        <v>0.4</v>
      </c>
      <c r="K13" s="33">
        <v>0.9</v>
      </c>
      <c r="M13" s="24"/>
      <c r="O13" s="25"/>
    </row>
    <row r="14" spans="1:39" x14ac:dyDescent="0.25">
      <c r="A14" s="29">
        <v>1020816</v>
      </c>
      <c r="B14" s="29">
        <v>0.9</v>
      </c>
      <c r="C14" s="29">
        <v>410</v>
      </c>
      <c r="D14" s="8"/>
      <c r="E14" s="34">
        <v>-0.69</v>
      </c>
      <c r="F14" s="31">
        <v>-1.6</v>
      </c>
      <c r="G14" s="31">
        <v>-0.75</v>
      </c>
      <c r="H14" s="9"/>
      <c r="I14" s="35">
        <v>0.94</v>
      </c>
      <c r="J14" s="33">
        <v>0.4</v>
      </c>
      <c r="K14" s="33">
        <v>0.9</v>
      </c>
      <c r="M14" s="24"/>
      <c r="O14" s="25"/>
    </row>
    <row r="15" spans="1:39" x14ac:dyDescent="0.25">
      <c r="A15" s="29">
        <v>1020874</v>
      </c>
      <c r="B15" s="29">
        <v>0.9</v>
      </c>
      <c r="C15" s="29">
        <v>550</v>
      </c>
      <c r="D15" s="8"/>
      <c r="E15" s="34">
        <v>-1</v>
      </c>
      <c r="F15" s="31">
        <v>-1.6</v>
      </c>
      <c r="G15" s="31">
        <v>-0.75</v>
      </c>
      <c r="H15" s="9"/>
      <c r="I15" s="35">
        <v>0.8</v>
      </c>
      <c r="J15" s="33">
        <v>0.4</v>
      </c>
      <c r="K15" s="33">
        <v>0.9</v>
      </c>
      <c r="M15" s="24"/>
      <c r="O15" s="25"/>
    </row>
    <row r="16" spans="1:39" x14ac:dyDescent="0.25">
      <c r="A16" s="29">
        <v>1020874</v>
      </c>
      <c r="B16" s="29">
        <v>0.9</v>
      </c>
      <c r="C16" s="29">
        <v>550</v>
      </c>
      <c r="D16" s="8"/>
      <c r="E16" s="34">
        <v>-0.81</v>
      </c>
      <c r="F16" s="31">
        <v>-1.6</v>
      </c>
      <c r="G16" s="31">
        <v>-0.75</v>
      </c>
      <c r="H16" s="9"/>
      <c r="I16" s="35">
        <v>0.8</v>
      </c>
      <c r="J16" s="33">
        <v>0.4</v>
      </c>
      <c r="K16" s="33">
        <v>0.9</v>
      </c>
      <c r="M16" s="24"/>
      <c r="O16" s="25"/>
    </row>
    <row r="17" spans="1:15" x14ac:dyDescent="0.25">
      <c r="A17" s="29">
        <v>1020816</v>
      </c>
      <c r="B17" s="29">
        <v>0.9</v>
      </c>
      <c r="C17" s="29">
        <v>410</v>
      </c>
      <c r="D17" s="8"/>
      <c r="E17" s="34">
        <v>-0.69</v>
      </c>
      <c r="F17" s="31">
        <v>-1.6</v>
      </c>
      <c r="G17" s="31">
        <v>-0.75</v>
      </c>
      <c r="H17" s="9"/>
      <c r="I17" s="35">
        <v>0.94</v>
      </c>
      <c r="J17" s="33">
        <v>0.4</v>
      </c>
      <c r="K17" s="33">
        <v>0.9</v>
      </c>
      <c r="M17" s="24"/>
      <c r="O17" s="25"/>
    </row>
    <row r="18" spans="1:15" x14ac:dyDescent="0.25">
      <c r="A18" s="29">
        <v>1020816</v>
      </c>
      <c r="B18" s="29">
        <v>0.9</v>
      </c>
      <c r="C18" s="29">
        <v>410</v>
      </c>
      <c r="D18" s="8"/>
      <c r="E18" s="34">
        <v>-0.69</v>
      </c>
      <c r="F18" s="31">
        <v>-1.6</v>
      </c>
      <c r="G18" s="31">
        <v>-0.75</v>
      </c>
      <c r="H18" s="9"/>
      <c r="I18" s="35">
        <v>0.94</v>
      </c>
      <c r="J18" s="33">
        <v>0.4</v>
      </c>
      <c r="K18" s="33">
        <v>0.9</v>
      </c>
      <c r="M18" s="24"/>
      <c r="O18" s="25"/>
    </row>
    <row r="19" spans="1:15" x14ac:dyDescent="0.25">
      <c r="A19" s="29">
        <v>1020816</v>
      </c>
      <c r="B19" s="29">
        <v>0.9</v>
      </c>
      <c r="C19" s="29">
        <v>410</v>
      </c>
      <c r="D19" s="8"/>
      <c r="E19" s="34">
        <v>-0.7</v>
      </c>
      <c r="F19" s="31">
        <v>-1.6</v>
      </c>
      <c r="G19" s="31">
        <v>-0.75</v>
      </c>
      <c r="H19" s="9"/>
      <c r="I19" s="35">
        <v>0.93</v>
      </c>
      <c r="J19" s="33">
        <v>0.4</v>
      </c>
      <c r="K19" s="33">
        <v>0.9</v>
      </c>
      <c r="M19" s="24"/>
      <c r="O19" s="25"/>
    </row>
    <row r="20" spans="1:15" x14ac:dyDescent="0.25">
      <c r="A20" s="29">
        <v>1020816</v>
      </c>
      <c r="B20" s="29">
        <v>0.9</v>
      </c>
      <c r="C20" s="29">
        <v>410</v>
      </c>
      <c r="D20" s="8"/>
      <c r="E20" s="34">
        <v>-0.69</v>
      </c>
      <c r="F20" s="31">
        <v>-1.6</v>
      </c>
      <c r="G20" s="31">
        <v>-0.75</v>
      </c>
      <c r="H20" s="9"/>
      <c r="I20" s="35">
        <v>0.94</v>
      </c>
      <c r="J20" s="33">
        <v>0.4</v>
      </c>
      <c r="K20" s="33">
        <v>0.9</v>
      </c>
      <c r="M20" s="24"/>
      <c r="O20" s="25"/>
    </row>
    <row r="21" spans="1:15" x14ac:dyDescent="0.25">
      <c r="A21" s="29">
        <v>1020816</v>
      </c>
      <c r="B21" s="29">
        <v>0.9</v>
      </c>
      <c r="C21" s="29">
        <v>410</v>
      </c>
      <c r="D21" s="8"/>
      <c r="E21" s="34">
        <v>-0.69</v>
      </c>
      <c r="F21" s="31">
        <v>-1.6</v>
      </c>
      <c r="G21" s="31">
        <v>-0.75</v>
      </c>
      <c r="H21" s="9"/>
      <c r="I21" s="35">
        <v>0.94</v>
      </c>
      <c r="J21" s="33">
        <v>0.4</v>
      </c>
      <c r="K21" s="33">
        <v>0.9</v>
      </c>
      <c r="M21" s="24"/>
      <c r="O21" s="25"/>
    </row>
    <row r="22" spans="1:15" x14ac:dyDescent="0.25">
      <c r="A22" s="29">
        <v>1020874</v>
      </c>
      <c r="B22" s="29">
        <v>0.9</v>
      </c>
      <c r="C22" s="29">
        <v>55</v>
      </c>
      <c r="D22" s="8"/>
      <c r="E22" s="34">
        <v>-0.99</v>
      </c>
      <c r="F22" s="31">
        <v>-1.6</v>
      </c>
      <c r="G22" s="31">
        <v>-0.75</v>
      </c>
      <c r="H22" s="9"/>
      <c r="I22" s="35">
        <v>0.81</v>
      </c>
      <c r="J22" s="33">
        <v>0.4</v>
      </c>
      <c r="K22" s="33">
        <v>0.9</v>
      </c>
      <c r="M22" s="24"/>
      <c r="O22" s="25"/>
    </row>
    <row r="23" spans="1:15" x14ac:dyDescent="0.25">
      <c r="A23" s="29">
        <v>1020874</v>
      </c>
      <c r="B23" s="29">
        <v>0.9</v>
      </c>
      <c r="C23" s="29">
        <v>550</v>
      </c>
      <c r="D23" s="8"/>
      <c r="E23" s="34">
        <v>-0.99</v>
      </c>
      <c r="F23" s="31">
        <v>-1.6</v>
      </c>
      <c r="G23" s="31">
        <v>-0.75</v>
      </c>
      <c r="H23" s="9"/>
      <c r="I23" s="35">
        <v>0.81</v>
      </c>
      <c r="J23" s="33">
        <v>0.4</v>
      </c>
      <c r="K23" s="33">
        <v>0.9</v>
      </c>
      <c r="M23" s="24"/>
      <c r="O23" s="25"/>
    </row>
    <row r="24" spans="1:15" x14ac:dyDescent="0.25">
      <c r="A24" s="29">
        <v>1020874</v>
      </c>
      <c r="B24" s="29">
        <v>0.9</v>
      </c>
      <c r="C24" s="29">
        <v>55</v>
      </c>
      <c r="D24" s="8"/>
      <c r="E24" s="34">
        <v>-0.99</v>
      </c>
      <c r="F24" s="31">
        <v>-1.6</v>
      </c>
      <c r="G24" s="31">
        <v>-0.75</v>
      </c>
      <c r="H24" s="9"/>
      <c r="I24" s="35">
        <v>0.8</v>
      </c>
      <c r="J24" s="33">
        <v>0.4</v>
      </c>
      <c r="K24" s="33">
        <v>0.9</v>
      </c>
      <c r="M24" s="24"/>
      <c r="O24" s="25"/>
    </row>
    <row r="25" spans="1:15" x14ac:dyDescent="0.25">
      <c r="A25" s="29">
        <v>1020816</v>
      </c>
      <c r="B25" s="29">
        <v>0.9</v>
      </c>
      <c r="C25" s="29">
        <v>410</v>
      </c>
      <c r="D25" s="8"/>
      <c r="E25" s="34">
        <v>-0.71</v>
      </c>
      <c r="F25" s="31">
        <v>-1.6</v>
      </c>
      <c r="G25" s="31">
        <v>-0.75</v>
      </c>
      <c r="H25" s="9"/>
      <c r="I25" s="35">
        <v>0.91</v>
      </c>
      <c r="J25" s="33">
        <v>0.4</v>
      </c>
      <c r="K25" s="33">
        <v>0.9</v>
      </c>
      <c r="M25" s="24"/>
      <c r="O25" s="25"/>
    </row>
    <row r="26" spans="1:15" x14ac:dyDescent="0.25">
      <c r="A26" s="29">
        <v>1020874</v>
      </c>
      <c r="B26" s="29">
        <v>0.9</v>
      </c>
      <c r="C26" s="29">
        <v>550</v>
      </c>
      <c r="D26" s="8"/>
      <c r="E26" s="34">
        <v>-0.99</v>
      </c>
      <c r="F26" s="31">
        <v>-1.6</v>
      </c>
      <c r="G26" s="31">
        <v>-0.75</v>
      </c>
      <c r="H26" s="9"/>
      <c r="I26" s="35">
        <v>0.81</v>
      </c>
      <c r="J26" s="33">
        <v>0.4</v>
      </c>
      <c r="K26" s="33">
        <v>0.9</v>
      </c>
      <c r="M26" s="24"/>
      <c r="O26" s="25"/>
    </row>
    <row r="27" spans="1:15" x14ac:dyDescent="0.25">
      <c r="A27" s="29">
        <v>1020874</v>
      </c>
      <c r="B27" s="29">
        <v>0.9</v>
      </c>
      <c r="C27" s="29">
        <v>550</v>
      </c>
      <c r="D27" s="8"/>
      <c r="E27" s="34">
        <v>-0.99</v>
      </c>
      <c r="F27" s="31">
        <v>-1.6</v>
      </c>
      <c r="G27" s="31">
        <v>-0.75</v>
      </c>
      <c r="H27" s="9"/>
      <c r="I27" s="35">
        <v>0.81</v>
      </c>
      <c r="J27" s="33">
        <v>0.4</v>
      </c>
      <c r="K27" s="33">
        <v>0.9</v>
      </c>
      <c r="M27" s="24"/>
      <c r="O27" s="25"/>
    </row>
    <row r="28" spans="1:15" x14ac:dyDescent="0.25">
      <c r="A28" s="29">
        <v>1020874</v>
      </c>
      <c r="B28" s="77">
        <v>0.9</v>
      </c>
      <c r="C28" s="7">
        <v>550</v>
      </c>
      <c r="D28" s="8"/>
      <c r="E28" s="54">
        <v>-0.99</v>
      </c>
      <c r="F28" s="72">
        <v>-1.6</v>
      </c>
      <c r="G28" s="72">
        <v>-0.75</v>
      </c>
      <c r="H28" s="71"/>
      <c r="I28" s="55">
        <v>0.81</v>
      </c>
      <c r="J28" s="33">
        <v>0.4</v>
      </c>
      <c r="K28" s="33">
        <v>0.9</v>
      </c>
      <c r="M28" s="24"/>
      <c r="O28" s="25"/>
    </row>
    <row r="29" spans="1:15" x14ac:dyDescent="0.25">
      <c r="A29" s="29">
        <v>1020681</v>
      </c>
      <c r="B29" s="29">
        <v>0.96</v>
      </c>
      <c r="C29" s="29">
        <v>385</v>
      </c>
      <c r="D29" s="8"/>
      <c r="E29" s="34">
        <v>-1</v>
      </c>
      <c r="F29" s="72">
        <v>-1.6</v>
      </c>
      <c r="G29" s="72">
        <v>-0.75</v>
      </c>
      <c r="H29" s="71"/>
      <c r="I29" s="35">
        <v>0.6</v>
      </c>
      <c r="J29" s="33">
        <v>0.4</v>
      </c>
      <c r="K29" s="33">
        <v>0.9</v>
      </c>
      <c r="M29" s="24"/>
      <c r="O29" s="25"/>
    </row>
    <row r="30" spans="1:15" x14ac:dyDescent="0.25">
      <c r="A30" s="29">
        <v>1020761</v>
      </c>
      <c r="B30" s="29">
        <v>1</v>
      </c>
      <c r="C30" s="29">
        <v>399</v>
      </c>
      <c r="D30" s="8"/>
      <c r="E30" s="34">
        <v>-0.99</v>
      </c>
      <c r="F30" s="31">
        <v>-1.5</v>
      </c>
      <c r="G30" s="31">
        <v>-0.6</v>
      </c>
      <c r="H30" s="9"/>
      <c r="I30" s="35">
        <v>0.75</v>
      </c>
      <c r="J30" s="33">
        <v>0.5</v>
      </c>
      <c r="K30" s="33">
        <v>1</v>
      </c>
      <c r="M30" s="24"/>
      <c r="O30" s="25"/>
    </row>
    <row r="31" spans="1:15" x14ac:dyDescent="0.25">
      <c r="A31" s="29">
        <v>1020842</v>
      </c>
      <c r="B31" s="29">
        <v>1.2</v>
      </c>
      <c r="C31" s="29">
        <v>670</v>
      </c>
      <c r="D31" s="8"/>
      <c r="E31" s="34">
        <v>-0.5</v>
      </c>
      <c r="F31" s="31">
        <v>-1.2</v>
      </c>
      <c r="G31" s="31">
        <v>-0.3</v>
      </c>
      <c r="H31" s="9"/>
      <c r="I31" s="35">
        <v>1.3</v>
      </c>
      <c r="J31" s="33">
        <v>0.75</v>
      </c>
      <c r="K31" s="33">
        <v>1.2</v>
      </c>
      <c r="M31" s="24"/>
      <c r="O31" s="25"/>
    </row>
    <row r="32" spans="1:15" x14ac:dyDescent="0.25">
      <c r="A32" s="29">
        <v>1020842</v>
      </c>
      <c r="B32" s="29">
        <v>1.2</v>
      </c>
      <c r="C32" s="29">
        <v>670</v>
      </c>
      <c r="D32" s="8"/>
      <c r="E32" s="34">
        <v>-0.5</v>
      </c>
      <c r="F32" s="31">
        <v>-1.2</v>
      </c>
      <c r="G32" s="31">
        <v>-0.3</v>
      </c>
      <c r="H32" s="9"/>
      <c r="I32" s="35">
        <v>1.3</v>
      </c>
      <c r="J32" s="33">
        <v>0.75</v>
      </c>
      <c r="K32" s="33">
        <v>1.2</v>
      </c>
      <c r="M32" s="24"/>
      <c r="O32" s="25"/>
    </row>
    <row r="33" spans="1:15" x14ac:dyDescent="0.25">
      <c r="A33" s="29">
        <v>1020817</v>
      </c>
      <c r="B33" s="29">
        <v>1.4</v>
      </c>
      <c r="C33" s="29">
        <v>815</v>
      </c>
      <c r="D33" s="8"/>
      <c r="E33" s="34">
        <v>-0.8</v>
      </c>
      <c r="F33" s="31">
        <v>-1</v>
      </c>
      <c r="G33" s="31">
        <v>-0.1</v>
      </c>
      <c r="H33" s="9"/>
      <c r="I33" s="35">
        <v>1.21</v>
      </c>
      <c r="J33" s="33">
        <v>0.95</v>
      </c>
      <c r="K33" s="33">
        <v>1.4</v>
      </c>
      <c r="M33" s="24"/>
      <c r="O33" s="25"/>
    </row>
    <row r="34" spans="1:15" x14ac:dyDescent="0.25">
      <c r="A34" s="29">
        <v>1020817</v>
      </c>
      <c r="B34" s="29">
        <v>1.4</v>
      </c>
      <c r="C34" s="29">
        <v>815</v>
      </c>
      <c r="D34" s="8"/>
      <c r="E34" s="34">
        <v>-0.79</v>
      </c>
      <c r="F34" s="31">
        <v>-1</v>
      </c>
      <c r="G34" s="31">
        <v>-0.1</v>
      </c>
      <c r="H34" s="9"/>
      <c r="I34" s="35">
        <v>1.21</v>
      </c>
      <c r="J34" s="33">
        <v>0.95</v>
      </c>
      <c r="K34" s="33">
        <v>1.4</v>
      </c>
      <c r="M34" s="24"/>
      <c r="O34" s="25"/>
    </row>
    <row r="35" spans="1:15" x14ac:dyDescent="0.25">
      <c r="A35" s="29">
        <v>1020817</v>
      </c>
      <c r="B35" s="29">
        <v>1.4</v>
      </c>
      <c r="C35" s="29">
        <v>815</v>
      </c>
      <c r="D35" s="8"/>
      <c r="E35" s="34">
        <v>-0.79</v>
      </c>
      <c r="F35" s="31">
        <v>-1</v>
      </c>
      <c r="G35" s="31">
        <v>-0.1</v>
      </c>
      <c r="H35" s="9"/>
      <c r="I35" s="35">
        <v>1.21</v>
      </c>
      <c r="J35" s="33">
        <v>0.95</v>
      </c>
      <c r="K35" s="33">
        <v>1.4</v>
      </c>
      <c r="M35" s="24"/>
      <c r="O35" s="25"/>
    </row>
    <row r="36" spans="1:15" x14ac:dyDescent="0.25">
      <c r="A36" s="29">
        <v>1020817</v>
      </c>
      <c r="B36" s="29">
        <v>1.4</v>
      </c>
      <c r="C36" s="29">
        <v>815</v>
      </c>
      <c r="D36" s="8"/>
      <c r="E36" s="34">
        <v>-0.79</v>
      </c>
      <c r="F36" s="31">
        <v>-1</v>
      </c>
      <c r="G36" s="31">
        <v>-0.1</v>
      </c>
      <c r="H36" s="9"/>
      <c r="I36" s="35">
        <v>1.21</v>
      </c>
      <c r="J36" s="33">
        <v>0.95</v>
      </c>
      <c r="K36" s="33">
        <v>1.4</v>
      </c>
      <c r="M36" s="24"/>
      <c r="O36" s="25"/>
    </row>
    <row r="37" spans="1:15" x14ac:dyDescent="0.25">
      <c r="A37" s="29">
        <v>1020817</v>
      </c>
      <c r="B37" s="29">
        <v>1.4</v>
      </c>
      <c r="C37" s="29">
        <v>815</v>
      </c>
      <c r="D37" s="8"/>
      <c r="E37" s="34">
        <v>-0.8</v>
      </c>
      <c r="F37" s="31">
        <v>-1</v>
      </c>
      <c r="G37" s="31">
        <v>-0.1</v>
      </c>
      <c r="H37" s="9"/>
      <c r="I37" s="35">
        <v>1.2</v>
      </c>
      <c r="J37" s="33">
        <v>0.95</v>
      </c>
      <c r="K37" s="33">
        <v>1.4</v>
      </c>
      <c r="M37" s="24"/>
      <c r="O37" s="25"/>
    </row>
    <row r="38" spans="1:15" x14ac:dyDescent="0.25">
      <c r="A38" s="29">
        <v>1020817</v>
      </c>
      <c r="B38" s="29">
        <v>1.4</v>
      </c>
      <c r="C38" s="29">
        <v>815</v>
      </c>
      <c r="D38" s="8"/>
      <c r="E38" s="34">
        <v>-0.8</v>
      </c>
      <c r="F38" s="31">
        <v>-1</v>
      </c>
      <c r="G38" s="31">
        <v>-0.1</v>
      </c>
      <c r="H38" s="9"/>
      <c r="I38" s="35">
        <v>1.2</v>
      </c>
      <c r="J38" s="33">
        <v>0.95</v>
      </c>
      <c r="K38" s="33">
        <v>1.4</v>
      </c>
      <c r="M38" s="24"/>
      <c r="O38" s="25"/>
    </row>
    <row r="39" spans="1:15" x14ac:dyDescent="0.25">
      <c r="A39" s="29">
        <v>1020817</v>
      </c>
      <c r="B39" s="29">
        <v>1.4</v>
      </c>
      <c r="C39" s="29">
        <v>815</v>
      </c>
      <c r="D39" s="8"/>
      <c r="E39" s="34">
        <v>-0.8</v>
      </c>
      <c r="F39" s="31">
        <v>-1</v>
      </c>
      <c r="G39" s="31">
        <v>-0.1</v>
      </c>
      <c r="H39" s="9"/>
      <c r="I39" s="35">
        <v>1.2</v>
      </c>
      <c r="J39" s="33">
        <v>0.95</v>
      </c>
      <c r="K39" s="33">
        <v>1.4</v>
      </c>
      <c r="M39" s="24"/>
      <c r="O39" s="25"/>
    </row>
    <row r="40" spans="1:15" x14ac:dyDescent="0.25">
      <c r="A40" s="29">
        <v>1020817</v>
      </c>
      <c r="B40" s="29">
        <v>1.4</v>
      </c>
      <c r="C40" s="29">
        <v>815</v>
      </c>
      <c r="D40" s="8"/>
      <c r="E40" s="34">
        <v>-0.8</v>
      </c>
      <c r="F40" s="31">
        <v>-1</v>
      </c>
      <c r="G40" s="31">
        <v>-0.1</v>
      </c>
      <c r="H40" s="9"/>
      <c r="I40" s="35">
        <v>1.2</v>
      </c>
      <c r="J40" s="33">
        <v>0.95</v>
      </c>
      <c r="K40" s="33">
        <v>1.4</v>
      </c>
      <c r="M40" s="24"/>
      <c r="O40" s="25"/>
    </row>
    <row r="41" spans="1:15" x14ac:dyDescent="0.25">
      <c r="A41" s="29">
        <v>1020817</v>
      </c>
      <c r="B41" s="29">
        <v>1.4</v>
      </c>
      <c r="C41" s="29">
        <v>815</v>
      </c>
      <c r="D41" s="8"/>
      <c r="E41" s="34">
        <v>-0.79</v>
      </c>
      <c r="F41" s="31">
        <v>-1</v>
      </c>
      <c r="G41" s="31">
        <v>-0.1</v>
      </c>
      <c r="H41" s="9"/>
      <c r="I41" s="35">
        <v>1.21</v>
      </c>
      <c r="J41" s="33">
        <v>0.95</v>
      </c>
      <c r="K41" s="33">
        <v>1.4</v>
      </c>
      <c r="M41" s="24"/>
      <c r="O41" s="25"/>
    </row>
    <row r="42" spans="1:15" x14ac:dyDescent="0.25">
      <c r="A42" s="29">
        <v>1020817</v>
      </c>
      <c r="B42" s="29">
        <v>1.4</v>
      </c>
      <c r="C42" s="29">
        <v>815</v>
      </c>
      <c r="D42" s="8"/>
      <c r="E42" s="34">
        <v>-0.79</v>
      </c>
      <c r="F42" s="31">
        <v>-1</v>
      </c>
      <c r="G42" s="31">
        <v>-0.1</v>
      </c>
      <c r="H42" s="9"/>
      <c r="I42" s="35">
        <v>1.21</v>
      </c>
      <c r="J42" s="33">
        <v>0.95</v>
      </c>
      <c r="K42" s="33">
        <v>1.4</v>
      </c>
      <c r="M42" s="24"/>
      <c r="O42" s="25"/>
    </row>
    <row r="43" spans="1:15" x14ac:dyDescent="0.25">
      <c r="A43" s="29">
        <v>1020817</v>
      </c>
      <c r="B43" s="29">
        <v>1.4</v>
      </c>
      <c r="C43" s="29">
        <v>815</v>
      </c>
      <c r="D43" s="8"/>
      <c r="E43" s="34">
        <v>-0.79</v>
      </c>
      <c r="F43" s="31">
        <v>-1</v>
      </c>
      <c r="G43" s="31">
        <v>-0.1</v>
      </c>
      <c r="H43" s="9"/>
      <c r="I43" s="35">
        <v>1.21</v>
      </c>
      <c r="J43" s="33">
        <v>0.95</v>
      </c>
      <c r="K43" s="33">
        <v>1.4</v>
      </c>
      <c r="M43" s="24"/>
      <c r="O43" s="25"/>
    </row>
    <row r="44" spans="1:15" x14ac:dyDescent="0.25">
      <c r="A44" s="29">
        <v>1020817</v>
      </c>
      <c r="B44" s="29">
        <v>1.4</v>
      </c>
      <c r="C44" s="29">
        <v>815</v>
      </c>
      <c r="D44" s="8"/>
      <c r="E44" s="34">
        <v>-0.79</v>
      </c>
      <c r="F44" s="31">
        <v>-1</v>
      </c>
      <c r="G44" s="31">
        <v>-0.1</v>
      </c>
      <c r="H44" s="9"/>
      <c r="I44" s="35">
        <v>1.21</v>
      </c>
      <c r="J44" s="33">
        <v>0.95</v>
      </c>
      <c r="K44" s="33">
        <v>1.4</v>
      </c>
      <c r="M44" s="24"/>
      <c r="O44" s="25"/>
    </row>
    <row r="45" spans="1:15" x14ac:dyDescent="0.25">
      <c r="A45" s="29">
        <v>1020817</v>
      </c>
      <c r="B45" s="29">
        <v>1.4</v>
      </c>
      <c r="C45" s="29">
        <v>815</v>
      </c>
      <c r="D45" s="8"/>
      <c r="E45" s="34">
        <v>-0.79</v>
      </c>
      <c r="F45" s="31">
        <v>-1</v>
      </c>
      <c r="G45" s="31">
        <v>-0.1</v>
      </c>
      <c r="H45" s="9"/>
      <c r="I45" s="35">
        <v>1.21</v>
      </c>
      <c r="J45" s="33">
        <v>0.95</v>
      </c>
      <c r="K45" s="33">
        <v>1.4</v>
      </c>
      <c r="M45" s="24"/>
      <c r="O45" s="25"/>
    </row>
    <row r="46" spans="1:15" x14ac:dyDescent="0.25">
      <c r="A46" s="29">
        <v>1020817</v>
      </c>
      <c r="B46" s="29">
        <v>1.4</v>
      </c>
      <c r="C46" s="29">
        <v>815</v>
      </c>
      <c r="D46" s="8"/>
      <c r="E46" s="34">
        <v>-0.79</v>
      </c>
      <c r="F46" s="31">
        <v>-1</v>
      </c>
      <c r="G46" s="31">
        <v>-0.1</v>
      </c>
      <c r="H46" s="9"/>
      <c r="I46" s="35">
        <v>1.21</v>
      </c>
      <c r="J46" s="33">
        <v>0.95</v>
      </c>
      <c r="K46" s="33">
        <v>1.4</v>
      </c>
      <c r="M46" s="24"/>
      <c r="O46" s="25"/>
    </row>
    <row r="47" spans="1:15" x14ac:dyDescent="0.25">
      <c r="A47" s="29">
        <v>1020817</v>
      </c>
      <c r="B47" s="29">
        <v>1.4</v>
      </c>
      <c r="C47" s="29">
        <v>815</v>
      </c>
      <c r="D47" s="8"/>
      <c r="E47" s="34">
        <v>-0.79</v>
      </c>
      <c r="F47" s="31">
        <v>-1</v>
      </c>
      <c r="G47" s="31">
        <v>-0.1</v>
      </c>
      <c r="H47" s="9"/>
      <c r="I47" s="35">
        <v>1.21</v>
      </c>
      <c r="J47" s="33">
        <v>0.95</v>
      </c>
      <c r="K47" s="33">
        <v>1.4</v>
      </c>
      <c r="M47" s="24"/>
      <c r="O47" s="25"/>
    </row>
    <row r="48" spans="1:15" x14ac:dyDescent="0.25">
      <c r="A48" s="29">
        <v>1020817</v>
      </c>
      <c r="B48" s="29">
        <v>1.4</v>
      </c>
      <c r="C48" s="29">
        <v>815</v>
      </c>
      <c r="D48" s="8"/>
      <c r="E48" s="34">
        <v>-0.79</v>
      </c>
      <c r="F48" s="31">
        <v>-1</v>
      </c>
      <c r="G48" s="31">
        <v>-0.1</v>
      </c>
      <c r="H48" s="9"/>
      <c r="I48" s="35">
        <v>1.21</v>
      </c>
      <c r="J48" s="33">
        <v>0.95</v>
      </c>
      <c r="K48" s="33">
        <v>1.4</v>
      </c>
      <c r="M48" s="24"/>
      <c r="O48" s="25"/>
    </row>
    <row r="49" spans="1:15" x14ac:dyDescent="0.25">
      <c r="A49" s="29">
        <v>1020817</v>
      </c>
      <c r="B49" s="29">
        <v>1.4</v>
      </c>
      <c r="C49" s="29">
        <v>815</v>
      </c>
      <c r="D49" s="8"/>
      <c r="E49" s="34">
        <v>-0.79</v>
      </c>
      <c r="F49" s="31">
        <v>-1</v>
      </c>
      <c r="G49" s="31">
        <v>-0.1</v>
      </c>
      <c r="H49" s="9"/>
      <c r="I49" s="35">
        <v>1.21</v>
      </c>
      <c r="J49" s="33">
        <v>0.95</v>
      </c>
      <c r="K49" s="33">
        <v>1.4</v>
      </c>
      <c r="M49" s="24"/>
      <c r="O49" s="25"/>
    </row>
    <row r="50" spans="1:15" x14ac:dyDescent="0.25">
      <c r="A50" s="29">
        <v>1020817</v>
      </c>
      <c r="B50" s="29">
        <v>1.4</v>
      </c>
      <c r="C50" s="29">
        <v>815</v>
      </c>
      <c r="D50" s="8"/>
      <c r="E50" s="34">
        <v>-0.79</v>
      </c>
      <c r="F50" s="31">
        <v>-1</v>
      </c>
      <c r="G50" s="31">
        <v>-0.1</v>
      </c>
      <c r="H50" s="9"/>
      <c r="I50" s="35">
        <v>1.21</v>
      </c>
      <c r="J50" s="33">
        <v>0.95</v>
      </c>
      <c r="K50" s="33">
        <v>1.4</v>
      </c>
      <c r="M50" s="24"/>
      <c r="O50" s="25"/>
    </row>
    <row r="51" spans="1:15" x14ac:dyDescent="0.25">
      <c r="A51" s="29">
        <v>1020817</v>
      </c>
      <c r="B51" s="29">
        <v>1.4</v>
      </c>
      <c r="C51" s="29">
        <v>815</v>
      </c>
      <c r="D51" s="8"/>
      <c r="E51" s="34">
        <v>-0.79</v>
      </c>
      <c r="F51" s="31">
        <v>-1</v>
      </c>
      <c r="G51" s="31">
        <v>-0.1</v>
      </c>
      <c r="H51" s="9"/>
      <c r="I51" s="35">
        <v>1.21</v>
      </c>
      <c r="J51" s="33">
        <v>0.95</v>
      </c>
      <c r="K51" s="33">
        <v>1.4</v>
      </c>
      <c r="M51" s="24"/>
      <c r="O51" s="25"/>
    </row>
    <row r="52" spans="1:15" x14ac:dyDescent="0.25">
      <c r="A52" s="29">
        <v>1020817</v>
      </c>
      <c r="B52" s="29">
        <v>1.4</v>
      </c>
      <c r="C52" s="29">
        <v>815</v>
      </c>
      <c r="D52" s="8"/>
      <c r="E52" s="34">
        <v>-0.79</v>
      </c>
      <c r="F52" s="31">
        <v>-1</v>
      </c>
      <c r="G52" s="31">
        <v>-0.1</v>
      </c>
      <c r="H52" s="9"/>
      <c r="I52" s="35">
        <v>1.21</v>
      </c>
      <c r="J52" s="33">
        <v>0.95</v>
      </c>
      <c r="K52" s="33">
        <v>1.4</v>
      </c>
      <c r="M52" s="24"/>
      <c r="O52" s="25"/>
    </row>
    <row r="53" spans="1:15" x14ac:dyDescent="0.25">
      <c r="A53" s="29">
        <v>1020817</v>
      </c>
      <c r="B53" s="29">
        <v>1.4</v>
      </c>
      <c r="C53" s="29">
        <v>815</v>
      </c>
      <c r="D53" s="8"/>
      <c r="E53" s="34">
        <v>-0.79</v>
      </c>
      <c r="F53" s="31">
        <v>-1</v>
      </c>
      <c r="G53" s="31">
        <v>-0.1</v>
      </c>
      <c r="H53" s="9"/>
      <c r="I53" s="35">
        <v>1.21</v>
      </c>
      <c r="J53" s="33">
        <v>0.95</v>
      </c>
      <c r="K53" s="33">
        <v>1.4</v>
      </c>
      <c r="M53" s="24"/>
      <c r="O53" s="25"/>
    </row>
    <row r="54" spans="1:15" x14ac:dyDescent="0.25">
      <c r="A54" s="29">
        <v>1020817</v>
      </c>
      <c r="B54" s="29">
        <v>1.4</v>
      </c>
      <c r="C54" s="29">
        <v>815</v>
      </c>
      <c r="D54" s="8"/>
      <c r="E54" s="34">
        <v>-0.8</v>
      </c>
      <c r="F54" s="31">
        <v>-1</v>
      </c>
      <c r="G54" s="31">
        <v>-0.1</v>
      </c>
      <c r="H54" s="9"/>
      <c r="I54" s="35">
        <v>1.2</v>
      </c>
      <c r="J54" s="33">
        <v>0.95</v>
      </c>
      <c r="K54" s="33">
        <v>1.4</v>
      </c>
      <c r="M54" s="24"/>
      <c r="O54" s="25"/>
    </row>
    <row r="55" spans="1:15" x14ac:dyDescent="0.25">
      <c r="A55" s="29">
        <v>1020817</v>
      </c>
      <c r="B55" s="29">
        <v>1.4</v>
      </c>
      <c r="C55" s="29">
        <v>815</v>
      </c>
      <c r="D55" s="8"/>
      <c r="E55" s="34">
        <v>-0.8</v>
      </c>
      <c r="F55" s="31">
        <v>-1</v>
      </c>
      <c r="G55" s="31">
        <v>-0.1</v>
      </c>
      <c r="H55" s="9"/>
      <c r="I55" s="35">
        <v>1.2</v>
      </c>
      <c r="J55" s="33">
        <v>0.95</v>
      </c>
      <c r="K55" s="33">
        <v>1.4</v>
      </c>
      <c r="M55" s="24"/>
      <c r="O55" s="25"/>
    </row>
    <row r="56" spans="1:15" x14ac:dyDescent="0.25">
      <c r="A56" s="7">
        <v>1020817</v>
      </c>
      <c r="B56" s="7">
        <v>1.4</v>
      </c>
      <c r="C56" s="7">
        <v>815</v>
      </c>
      <c r="D56" s="8"/>
      <c r="E56" s="54">
        <v>-0.8</v>
      </c>
      <c r="F56" s="72">
        <v>-1</v>
      </c>
      <c r="G56" s="72">
        <v>-0.1</v>
      </c>
      <c r="H56" s="71"/>
      <c r="I56" s="55">
        <v>1.2</v>
      </c>
      <c r="J56" s="33">
        <v>0.95</v>
      </c>
      <c r="K56" s="33">
        <v>1.4</v>
      </c>
      <c r="M56" s="24"/>
      <c r="O56" s="25"/>
    </row>
    <row r="57" spans="1:15" x14ac:dyDescent="0.25">
      <c r="A57" s="7">
        <v>1020817</v>
      </c>
      <c r="B57" s="7">
        <v>1.4</v>
      </c>
      <c r="C57" s="7">
        <v>815</v>
      </c>
      <c r="D57" s="8"/>
      <c r="E57" s="54">
        <v>-0.8</v>
      </c>
      <c r="F57" s="72">
        <v>-1</v>
      </c>
      <c r="G57" s="72">
        <v>-0.1</v>
      </c>
      <c r="H57" s="71"/>
      <c r="I57" s="55">
        <v>1.2</v>
      </c>
      <c r="J57" s="33">
        <v>0.95</v>
      </c>
      <c r="K57" s="33">
        <v>1.4</v>
      </c>
      <c r="M57" s="24"/>
      <c r="O57" s="25"/>
    </row>
    <row r="58" spans="1:15" x14ac:dyDescent="0.25">
      <c r="A58" s="7">
        <v>1020817</v>
      </c>
      <c r="B58" s="7">
        <v>1.4</v>
      </c>
      <c r="C58" s="7">
        <v>815</v>
      </c>
      <c r="D58" s="8"/>
      <c r="E58" s="54">
        <v>-0.8</v>
      </c>
      <c r="F58" s="72">
        <v>-1</v>
      </c>
      <c r="G58" s="72">
        <v>-0.1</v>
      </c>
      <c r="H58" s="71"/>
      <c r="I58" s="55">
        <v>1.2</v>
      </c>
      <c r="J58" s="33">
        <v>0.95</v>
      </c>
      <c r="K58" s="33">
        <v>1.4</v>
      </c>
      <c r="M58" s="24"/>
      <c r="O58" s="25"/>
    </row>
    <row r="59" spans="1:15" x14ac:dyDescent="0.25">
      <c r="A59" s="7">
        <v>1020817</v>
      </c>
      <c r="B59" s="7">
        <v>1.4</v>
      </c>
      <c r="C59" s="7">
        <v>815</v>
      </c>
      <c r="D59" s="8"/>
      <c r="E59" s="54">
        <v>-0.8</v>
      </c>
      <c r="F59" s="72">
        <v>-1</v>
      </c>
      <c r="G59" s="72">
        <v>-0.1</v>
      </c>
      <c r="H59" s="71"/>
      <c r="I59" s="55">
        <v>1.2</v>
      </c>
      <c r="J59" s="33">
        <v>0.95</v>
      </c>
      <c r="K59" s="33">
        <v>1.4</v>
      </c>
      <c r="M59" s="24"/>
      <c r="O59" s="25"/>
    </row>
    <row r="60" spans="1:15" x14ac:dyDescent="0.25">
      <c r="A60" s="7">
        <v>1020817</v>
      </c>
      <c r="B60" s="7">
        <v>1.4</v>
      </c>
      <c r="C60" s="7">
        <v>815</v>
      </c>
      <c r="D60" s="8"/>
      <c r="E60" s="54">
        <v>-0.8</v>
      </c>
      <c r="F60" s="72">
        <v>-1</v>
      </c>
      <c r="G60" s="72">
        <v>-0.1</v>
      </c>
      <c r="H60" s="71"/>
      <c r="I60" s="55">
        <v>1.2</v>
      </c>
      <c r="J60" s="33">
        <v>0.95</v>
      </c>
      <c r="K60" s="33">
        <v>1.4</v>
      </c>
      <c r="M60" s="24"/>
      <c r="O60" s="25"/>
    </row>
    <row r="61" spans="1:15" x14ac:dyDescent="0.25">
      <c r="A61" s="7">
        <v>1020817</v>
      </c>
      <c r="B61" s="7">
        <v>1.4</v>
      </c>
      <c r="C61" s="7">
        <v>815</v>
      </c>
      <c r="D61" s="8"/>
      <c r="E61" s="54">
        <v>-0.8</v>
      </c>
      <c r="F61" s="72">
        <v>-1</v>
      </c>
      <c r="G61" s="72">
        <v>-0.1</v>
      </c>
      <c r="H61" s="71"/>
      <c r="I61" s="55">
        <v>1.2</v>
      </c>
      <c r="J61" s="33">
        <v>0.95</v>
      </c>
      <c r="K61" s="33">
        <v>1.4</v>
      </c>
      <c r="M61" s="24"/>
      <c r="O61" s="25"/>
    </row>
    <row r="62" spans="1:15" x14ac:dyDescent="0.25">
      <c r="A62" s="7">
        <v>1020817</v>
      </c>
      <c r="B62" s="7">
        <v>1.4</v>
      </c>
      <c r="C62" s="7">
        <v>815</v>
      </c>
      <c r="D62" s="8"/>
      <c r="E62" s="54">
        <v>-0.8</v>
      </c>
      <c r="F62" s="72">
        <v>-1</v>
      </c>
      <c r="G62" s="72">
        <v>-0.1</v>
      </c>
      <c r="H62" s="71"/>
      <c r="I62" s="55">
        <v>1.2</v>
      </c>
      <c r="J62" s="33">
        <v>0.95</v>
      </c>
      <c r="K62" s="33">
        <v>1.4</v>
      </c>
      <c r="M62" s="24"/>
      <c r="O62" s="25"/>
    </row>
    <row r="63" spans="1:15" x14ac:dyDescent="0.25">
      <c r="A63" s="29">
        <v>1021179</v>
      </c>
      <c r="B63" s="29">
        <v>1.5</v>
      </c>
      <c r="C63" s="29">
        <v>618</v>
      </c>
      <c r="D63" s="8"/>
      <c r="E63" s="34">
        <v>-0.5</v>
      </c>
      <c r="F63" s="31">
        <v>-0.9</v>
      </c>
      <c r="G63" s="31">
        <v>0</v>
      </c>
      <c r="H63" s="9"/>
      <c r="I63" s="35">
        <v>1.2</v>
      </c>
      <c r="J63" s="33">
        <v>1.1000000000000001</v>
      </c>
      <c r="K63" s="33">
        <v>1.5</v>
      </c>
      <c r="M63" s="24"/>
      <c r="O63" s="25"/>
    </row>
    <row r="64" spans="1:15" x14ac:dyDescent="0.25">
      <c r="A64" s="29">
        <v>1021179</v>
      </c>
      <c r="B64" s="29">
        <v>1.5</v>
      </c>
      <c r="C64" s="29">
        <v>618</v>
      </c>
      <c r="D64" s="8"/>
      <c r="E64" s="34">
        <v>-0.5</v>
      </c>
      <c r="F64" s="31">
        <v>-0.9</v>
      </c>
      <c r="G64" s="31">
        <v>0</v>
      </c>
      <c r="H64" s="9"/>
      <c r="I64" s="35">
        <v>1.2</v>
      </c>
      <c r="J64" s="33">
        <v>1.1000000000000001</v>
      </c>
      <c r="K64" s="33">
        <v>1.5</v>
      </c>
      <c r="M64" s="24"/>
      <c r="O64" s="25"/>
    </row>
    <row r="65" spans="1:15" x14ac:dyDescent="0.25">
      <c r="A65" s="29">
        <v>1021179</v>
      </c>
      <c r="B65" s="29">
        <v>1.5</v>
      </c>
      <c r="C65" s="29">
        <v>618</v>
      </c>
      <c r="D65" s="8"/>
      <c r="E65" s="34">
        <v>-0.51</v>
      </c>
      <c r="F65" s="31">
        <v>-0.9</v>
      </c>
      <c r="G65" s="31">
        <v>0</v>
      </c>
      <c r="H65" s="9"/>
      <c r="I65" s="35">
        <v>1.21</v>
      </c>
      <c r="J65" s="33">
        <v>1.1000000000000001</v>
      </c>
      <c r="K65" s="33">
        <v>1.5</v>
      </c>
      <c r="M65" s="24"/>
      <c r="O65" s="25"/>
    </row>
    <row r="66" spans="1:15" x14ac:dyDescent="0.25">
      <c r="A66" s="29">
        <v>1021179</v>
      </c>
      <c r="B66" s="29">
        <v>1.5</v>
      </c>
      <c r="C66" s="29">
        <v>618</v>
      </c>
      <c r="D66" s="8"/>
      <c r="E66" s="34">
        <v>-0.51</v>
      </c>
      <c r="F66" s="31">
        <v>-0.9</v>
      </c>
      <c r="G66" s="31">
        <v>0</v>
      </c>
      <c r="H66" s="9"/>
      <c r="I66" s="35">
        <v>1.21</v>
      </c>
      <c r="J66" s="33">
        <v>1.1000000000000001</v>
      </c>
      <c r="K66" s="33">
        <v>1.5</v>
      </c>
      <c r="M66" s="24"/>
      <c r="O66" s="25"/>
    </row>
    <row r="67" spans="1:15" x14ac:dyDescent="0.25">
      <c r="A67" s="29">
        <v>1021179</v>
      </c>
      <c r="B67" s="29">
        <v>1.5</v>
      </c>
      <c r="C67" s="29">
        <v>618</v>
      </c>
      <c r="D67" s="8"/>
      <c r="E67" s="34">
        <v>-0.51</v>
      </c>
      <c r="F67" s="31">
        <v>-0.9</v>
      </c>
      <c r="G67" s="31">
        <v>0</v>
      </c>
      <c r="H67" s="9"/>
      <c r="I67" s="35">
        <v>1.21</v>
      </c>
      <c r="J67" s="33">
        <v>1.1000000000000001</v>
      </c>
      <c r="K67" s="33">
        <v>1.5</v>
      </c>
      <c r="M67" s="24"/>
      <c r="O67" s="25"/>
    </row>
    <row r="68" spans="1:15" x14ac:dyDescent="0.25">
      <c r="A68" s="29">
        <v>1021179</v>
      </c>
      <c r="B68" s="29">
        <v>1.5</v>
      </c>
      <c r="C68" s="29">
        <v>618</v>
      </c>
      <c r="D68" s="8"/>
      <c r="E68" s="34">
        <v>-0.51</v>
      </c>
      <c r="F68" s="31">
        <v>-0.9</v>
      </c>
      <c r="G68" s="31">
        <v>0</v>
      </c>
      <c r="H68" s="9"/>
      <c r="I68" s="35">
        <v>1.21</v>
      </c>
      <c r="J68" s="33">
        <v>1.1000000000000001</v>
      </c>
      <c r="K68" s="33">
        <v>1.5</v>
      </c>
      <c r="M68" s="24"/>
      <c r="O68" s="25"/>
    </row>
    <row r="69" spans="1:15" x14ac:dyDescent="0.25">
      <c r="A69" s="29">
        <v>1021179</v>
      </c>
      <c r="B69" s="29">
        <v>1.5</v>
      </c>
      <c r="C69" s="29">
        <v>618</v>
      </c>
      <c r="D69" s="8"/>
      <c r="E69" s="34">
        <v>-0.51</v>
      </c>
      <c r="F69" s="31">
        <v>-0.9</v>
      </c>
      <c r="G69" s="31">
        <v>0</v>
      </c>
      <c r="H69" s="9"/>
      <c r="I69" s="35">
        <v>1.21</v>
      </c>
      <c r="J69" s="33">
        <v>1.1000000000000001</v>
      </c>
      <c r="K69" s="33">
        <v>1.5</v>
      </c>
      <c r="M69" s="24"/>
      <c r="O69" s="25"/>
    </row>
    <row r="70" spans="1:15" x14ac:dyDescent="0.25">
      <c r="A70" s="29">
        <v>1020716</v>
      </c>
      <c r="B70" s="29">
        <v>2</v>
      </c>
      <c r="C70" s="29">
        <v>460</v>
      </c>
      <c r="D70" s="8"/>
      <c r="E70" s="34">
        <v>0.24</v>
      </c>
      <c r="F70" s="31">
        <v>-0.25</v>
      </c>
      <c r="G70" s="31">
        <v>0.6</v>
      </c>
      <c r="H70" s="9"/>
      <c r="I70" s="35">
        <v>1.94</v>
      </c>
      <c r="J70" s="33">
        <v>1.6</v>
      </c>
      <c r="K70" s="33">
        <v>2</v>
      </c>
      <c r="M70" s="24"/>
      <c r="O70" s="25"/>
    </row>
    <row r="71" spans="1:15" x14ac:dyDescent="0.25">
      <c r="A71" s="29">
        <v>1020716</v>
      </c>
      <c r="B71" s="29">
        <v>2</v>
      </c>
      <c r="C71" s="29">
        <v>460</v>
      </c>
      <c r="D71" s="8"/>
      <c r="E71" s="34">
        <v>0.24</v>
      </c>
      <c r="F71" s="31">
        <v>-0.25</v>
      </c>
      <c r="G71" s="31">
        <v>0.6</v>
      </c>
      <c r="H71" s="9"/>
      <c r="I71" s="35">
        <v>1.94</v>
      </c>
      <c r="J71" s="33">
        <v>1.6</v>
      </c>
      <c r="K71" s="33">
        <v>2</v>
      </c>
      <c r="M71" s="24"/>
      <c r="O71" s="25"/>
    </row>
    <row r="72" spans="1:15" x14ac:dyDescent="0.25">
      <c r="A72" s="29">
        <v>1020716</v>
      </c>
      <c r="B72" s="29">
        <v>2</v>
      </c>
      <c r="C72" s="29">
        <v>460</v>
      </c>
      <c r="D72" s="8"/>
      <c r="E72" s="34">
        <v>0.25</v>
      </c>
      <c r="F72" s="31">
        <v>-0.25</v>
      </c>
      <c r="G72" s="31">
        <v>0.6</v>
      </c>
      <c r="H72" s="9"/>
      <c r="I72" s="35">
        <v>1.94</v>
      </c>
      <c r="J72" s="33">
        <v>1.6</v>
      </c>
      <c r="K72" s="33">
        <v>2</v>
      </c>
      <c r="M72" s="24"/>
      <c r="O72" s="25"/>
    </row>
    <row r="73" spans="1:15" x14ac:dyDescent="0.25">
      <c r="A73" s="29">
        <v>1020716</v>
      </c>
      <c r="B73" s="29">
        <v>2</v>
      </c>
      <c r="C73" s="29">
        <v>460</v>
      </c>
      <c r="D73" s="8"/>
      <c r="E73" s="34">
        <v>0.25</v>
      </c>
      <c r="F73" s="31">
        <v>-0.25</v>
      </c>
      <c r="G73" s="31">
        <v>0.6</v>
      </c>
      <c r="H73" s="9"/>
      <c r="I73" s="35">
        <v>1.94</v>
      </c>
      <c r="J73" s="33">
        <v>1.6</v>
      </c>
      <c r="K73" s="33">
        <v>2</v>
      </c>
      <c r="M73" s="24"/>
      <c r="O73" s="25"/>
    </row>
    <row r="74" spans="1:15" x14ac:dyDescent="0.25">
      <c r="A74" s="29">
        <v>1020716</v>
      </c>
      <c r="B74" s="29">
        <v>2</v>
      </c>
      <c r="C74" s="29">
        <v>460</v>
      </c>
      <c r="D74" s="8"/>
      <c r="E74" s="34">
        <v>0.25</v>
      </c>
      <c r="F74" s="31">
        <v>-0.25</v>
      </c>
      <c r="G74" s="31">
        <v>0.6</v>
      </c>
      <c r="H74" s="9"/>
      <c r="I74" s="35">
        <v>1.94</v>
      </c>
      <c r="J74" s="33">
        <v>1.6</v>
      </c>
      <c r="K74" s="33">
        <v>2</v>
      </c>
      <c r="M74" s="24"/>
      <c r="O74" s="25"/>
    </row>
    <row r="75" spans="1:15" x14ac:dyDescent="0.25">
      <c r="A75" s="29">
        <v>1020716</v>
      </c>
      <c r="B75" s="29">
        <v>2</v>
      </c>
      <c r="C75" s="29">
        <v>460</v>
      </c>
      <c r="D75" s="8"/>
      <c r="E75" s="34">
        <v>0.25</v>
      </c>
      <c r="F75" s="31">
        <v>-0.25</v>
      </c>
      <c r="G75" s="31">
        <v>0.6</v>
      </c>
      <c r="H75" s="9"/>
      <c r="I75" s="35">
        <v>1.94</v>
      </c>
      <c r="J75" s="33">
        <v>1.6</v>
      </c>
      <c r="K75" s="33">
        <v>2</v>
      </c>
      <c r="M75" s="24"/>
      <c r="O75" s="25"/>
    </row>
    <row r="76" spans="1:15" x14ac:dyDescent="0.25">
      <c r="A76" s="29">
        <v>1020843</v>
      </c>
      <c r="B76" s="29">
        <v>2</v>
      </c>
      <c r="C76" s="29">
        <v>670</v>
      </c>
      <c r="D76" s="8"/>
      <c r="E76" s="34">
        <v>0.5</v>
      </c>
      <c r="F76" s="31">
        <v>-0.25</v>
      </c>
      <c r="G76" s="31">
        <v>0.6</v>
      </c>
      <c r="H76" s="9"/>
      <c r="I76" s="35">
        <v>1.74</v>
      </c>
      <c r="J76" s="33">
        <v>1.6</v>
      </c>
      <c r="K76" s="33">
        <v>2</v>
      </c>
      <c r="M76" s="24"/>
      <c r="O76" s="25"/>
    </row>
    <row r="77" spans="1:15" x14ac:dyDescent="0.25">
      <c r="A77" s="29">
        <v>1020843</v>
      </c>
      <c r="B77" s="29">
        <v>2</v>
      </c>
      <c r="C77" s="29">
        <v>670</v>
      </c>
      <c r="D77" s="8"/>
      <c r="E77" s="34">
        <v>0.5</v>
      </c>
      <c r="F77" s="31">
        <v>-0.25</v>
      </c>
      <c r="G77" s="31">
        <v>0.6</v>
      </c>
      <c r="H77" s="9"/>
      <c r="I77" s="35">
        <v>1.74</v>
      </c>
      <c r="J77" s="33">
        <v>1.6</v>
      </c>
      <c r="K77" s="33">
        <v>2</v>
      </c>
      <c r="M77" s="24"/>
      <c r="O77" s="25"/>
    </row>
    <row r="78" spans="1:15" x14ac:dyDescent="0.25">
      <c r="A78" s="29">
        <v>1020716</v>
      </c>
      <c r="B78" s="29">
        <v>2</v>
      </c>
      <c r="C78" s="29">
        <v>460</v>
      </c>
      <c r="D78" s="8"/>
      <c r="E78" s="34">
        <v>0.26</v>
      </c>
      <c r="F78" s="31">
        <v>-0.25</v>
      </c>
      <c r="G78" s="31">
        <v>0.6</v>
      </c>
      <c r="H78" s="9"/>
      <c r="I78" s="35">
        <v>1.94</v>
      </c>
      <c r="J78" s="33">
        <v>1.6</v>
      </c>
      <c r="K78" s="33">
        <v>2</v>
      </c>
      <c r="M78" s="24"/>
      <c r="O78" s="25"/>
    </row>
    <row r="79" spans="1:15" x14ac:dyDescent="0.25">
      <c r="A79" s="29">
        <v>1020716</v>
      </c>
      <c r="B79" s="29">
        <v>2</v>
      </c>
      <c r="C79" s="29">
        <v>460</v>
      </c>
      <c r="D79" s="8"/>
      <c r="E79" s="34">
        <v>0.26</v>
      </c>
      <c r="F79" s="31">
        <v>-0.25</v>
      </c>
      <c r="G79" s="31">
        <v>0.6</v>
      </c>
      <c r="H79" s="9"/>
      <c r="I79" s="35">
        <v>1.94</v>
      </c>
      <c r="J79" s="33">
        <v>1.6</v>
      </c>
      <c r="K79" s="33">
        <v>2</v>
      </c>
      <c r="M79" s="24"/>
      <c r="O79" s="25"/>
    </row>
    <row r="80" spans="1:15" x14ac:dyDescent="0.25">
      <c r="A80" s="29">
        <v>1021177</v>
      </c>
      <c r="B80" s="29">
        <v>2</v>
      </c>
      <c r="C80" s="29">
        <v>336</v>
      </c>
      <c r="D80" s="8"/>
      <c r="E80" s="34">
        <v>0.2</v>
      </c>
      <c r="F80" s="31">
        <v>-0.25</v>
      </c>
      <c r="G80" s="31">
        <v>0.6</v>
      </c>
      <c r="H80" s="9"/>
      <c r="I80" s="35">
        <v>1.8</v>
      </c>
      <c r="J80" s="33">
        <v>1.6</v>
      </c>
      <c r="K80" s="33">
        <v>2</v>
      </c>
      <c r="M80" s="24"/>
      <c r="O80" s="25"/>
    </row>
    <row r="81" spans="1:15" x14ac:dyDescent="0.25">
      <c r="A81" s="29">
        <v>1020716</v>
      </c>
      <c r="B81" s="29">
        <v>2</v>
      </c>
      <c r="C81" s="29">
        <v>460</v>
      </c>
      <c r="D81" s="8"/>
      <c r="E81" s="34">
        <v>0.26</v>
      </c>
      <c r="F81" s="31">
        <v>-0.25</v>
      </c>
      <c r="G81" s="31">
        <v>0.6</v>
      </c>
      <c r="H81" s="9"/>
      <c r="I81" s="35">
        <v>1.96</v>
      </c>
      <c r="J81" s="33">
        <v>1.6</v>
      </c>
      <c r="K81" s="33">
        <v>2</v>
      </c>
      <c r="M81" s="24"/>
      <c r="O81" s="25"/>
    </row>
    <row r="82" spans="1:15" x14ac:dyDescent="0.25">
      <c r="A82" s="29">
        <v>1020716</v>
      </c>
      <c r="B82" s="29">
        <v>2</v>
      </c>
      <c r="C82" s="29">
        <v>460</v>
      </c>
      <c r="D82" s="8"/>
      <c r="E82" s="34">
        <v>0.26</v>
      </c>
      <c r="F82" s="31">
        <v>-0.25</v>
      </c>
      <c r="G82" s="31">
        <v>0.6</v>
      </c>
      <c r="H82" s="9"/>
      <c r="I82" s="35">
        <v>1.96</v>
      </c>
      <c r="J82" s="33">
        <v>1.6</v>
      </c>
      <c r="K82" s="33">
        <v>2</v>
      </c>
      <c r="M82" s="24"/>
      <c r="O82" s="25"/>
    </row>
    <row r="83" spans="1:15" x14ac:dyDescent="0.25">
      <c r="A83" s="29">
        <v>1020716</v>
      </c>
      <c r="B83" s="29">
        <v>2</v>
      </c>
      <c r="C83" s="29">
        <v>460</v>
      </c>
      <c r="D83" s="8"/>
      <c r="E83" s="34">
        <v>0.26</v>
      </c>
      <c r="F83" s="31">
        <v>-0.25</v>
      </c>
      <c r="G83" s="31">
        <v>0.6</v>
      </c>
      <c r="H83" s="9"/>
      <c r="I83" s="35">
        <v>1.96</v>
      </c>
      <c r="J83" s="33">
        <v>1.6</v>
      </c>
      <c r="K83" s="33">
        <v>2</v>
      </c>
      <c r="M83" s="24"/>
      <c r="O83" s="25"/>
    </row>
    <row r="84" spans="1:15" x14ac:dyDescent="0.25">
      <c r="A84" s="29">
        <v>1020716</v>
      </c>
      <c r="B84" s="29">
        <v>2</v>
      </c>
      <c r="C84" s="29">
        <v>460</v>
      </c>
      <c r="D84" s="8"/>
      <c r="E84" s="34">
        <v>0.25</v>
      </c>
      <c r="F84" s="31">
        <v>-0.25</v>
      </c>
      <c r="G84" s="31">
        <v>0.6</v>
      </c>
      <c r="H84" s="9"/>
      <c r="I84" s="35">
        <v>1.95</v>
      </c>
      <c r="J84" s="33">
        <v>1.6</v>
      </c>
      <c r="K84" s="33">
        <v>2</v>
      </c>
      <c r="M84" s="24"/>
      <c r="O84" s="25"/>
    </row>
    <row r="85" spans="1:15" x14ac:dyDescent="0.25">
      <c r="A85" s="29">
        <v>1020716</v>
      </c>
      <c r="B85" s="29">
        <v>2</v>
      </c>
      <c r="C85" s="29">
        <v>460</v>
      </c>
      <c r="D85" s="8"/>
      <c r="E85" s="34">
        <v>0.25</v>
      </c>
      <c r="F85" s="31">
        <v>-0.25</v>
      </c>
      <c r="G85" s="31">
        <v>0.6</v>
      </c>
      <c r="H85" s="9"/>
      <c r="I85" s="35">
        <v>1.95</v>
      </c>
      <c r="J85" s="33">
        <v>1.6</v>
      </c>
      <c r="K85" s="33">
        <v>2</v>
      </c>
      <c r="M85" s="24"/>
      <c r="O85" s="25"/>
    </row>
    <row r="86" spans="1:15" x14ac:dyDescent="0.25">
      <c r="A86" s="29">
        <v>1020716</v>
      </c>
      <c r="B86" s="29">
        <v>2</v>
      </c>
      <c r="C86" s="29">
        <v>460</v>
      </c>
      <c r="D86" s="8"/>
      <c r="E86" s="34">
        <v>0.25</v>
      </c>
      <c r="F86" s="31">
        <v>-0.25</v>
      </c>
      <c r="G86" s="31">
        <v>0.6</v>
      </c>
      <c r="H86" s="9"/>
      <c r="I86" s="35">
        <v>1.95</v>
      </c>
      <c r="J86" s="33">
        <v>1.6</v>
      </c>
      <c r="K86" s="33">
        <v>2</v>
      </c>
      <c r="M86" s="24"/>
      <c r="O86" s="25"/>
    </row>
    <row r="87" spans="1:15" x14ac:dyDescent="0.25">
      <c r="A87" s="29">
        <v>1017081</v>
      </c>
      <c r="B87" s="29">
        <v>2</v>
      </c>
      <c r="C87" s="29">
        <v>493</v>
      </c>
      <c r="D87" s="8"/>
      <c r="E87" s="34">
        <v>1.51</v>
      </c>
      <c r="F87" s="31">
        <v>-0.25</v>
      </c>
      <c r="G87" s="31">
        <v>0.6</v>
      </c>
      <c r="H87" s="9"/>
      <c r="I87" s="35">
        <v>1.91</v>
      </c>
      <c r="J87" s="33">
        <v>1.6</v>
      </c>
      <c r="K87" s="33">
        <v>2</v>
      </c>
      <c r="M87" s="24"/>
      <c r="O87" s="25"/>
    </row>
    <row r="88" spans="1:15" x14ac:dyDescent="0.25">
      <c r="A88" s="29">
        <v>1017081</v>
      </c>
      <c r="B88" s="29">
        <v>2</v>
      </c>
      <c r="C88" s="29">
        <v>493</v>
      </c>
      <c r="D88" s="8"/>
      <c r="E88" s="34">
        <v>1.51</v>
      </c>
      <c r="F88" s="31">
        <v>-0.25</v>
      </c>
      <c r="G88" s="31">
        <v>0.6</v>
      </c>
      <c r="H88" s="9"/>
      <c r="I88" s="35">
        <v>1.91</v>
      </c>
      <c r="J88" s="33">
        <v>1.6</v>
      </c>
      <c r="K88" s="33">
        <v>2</v>
      </c>
      <c r="M88" s="24"/>
      <c r="O88" s="25"/>
    </row>
    <row r="89" spans="1:15" x14ac:dyDescent="0.25">
      <c r="A89" s="29">
        <v>1020716</v>
      </c>
      <c r="B89" s="29">
        <v>2</v>
      </c>
      <c r="C89" s="29">
        <v>460</v>
      </c>
      <c r="D89" s="8"/>
      <c r="E89" s="34">
        <v>0.26</v>
      </c>
      <c r="F89" s="31">
        <v>-0.25</v>
      </c>
      <c r="G89" s="31">
        <v>0.6</v>
      </c>
      <c r="H89" s="9"/>
      <c r="I89" s="35">
        <v>1.96</v>
      </c>
      <c r="J89" s="33">
        <v>1.6</v>
      </c>
      <c r="K89" s="33">
        <v>2</v>
      </c>
      <c r="M89" s="24"/>
      <c r="O89" s="25"/>
    </row>
    <row r="90" spans="1:15" x14ac:dyDescent="0.25">
      <c r="A90" s="29">
        <v>1020716</v>
      </c>
      <c r="B90" s="29">
        <v>2</v>
      </c>
      <c r="C90" s="29">
        <v>460</v>
      </c>
      <c r="D90" s="8"/>
      <c r="E90" s="34">
        <v>0.26</v>
      </c>
      <c r="F90" s="31">
        <v>-0.25</v>
      </c>
      <c r="G90" s="31">
        <v>0.6</v>
      </c>
      <c r="H90" s="9"/>
      <c r="I90" s="35">
        <v>1.96</v>
      </c>
      <c r="J90" s="33">
        <v>1.6</v>
      </c>
      <c r="K90" s="33">
        <v>2</v>
      </c>
      <c r="M90" s="24"/>
      <c r="O90" s="25"/>
    </row>
    <row r="91" spans="1:15" x14ac:dyDescent="0.25">
      <c r="A91" s="29">
        <v>1020716</v>
      </c>
      <c r="B91" s="29">
        <v>2</v>
      </c>
      <c r="C91" s="29">
        <v>460</v>
      </c>
      <c r="D91" s="8"/>
      <c r="E91" s="34">
        <v>0.27</v>
      </c>
      <c r="F91" s="31">
        <v>-0.25</v>
      </c>
      <c r="G91" s="31">
        <v>0.6</v>
      </c>
      <c r="H91" s="9"/>
      <c r="I91" s="35">
        <v>1.96</v>
      </c>
      <c r="J91" s="33">
        <v>1.6</v>
      </c>
      <c r="K91" s="33">
        <v>2</v>
      </c>
      <c r="M91" s="24"/>
      <c r="O91" s="25"/>
    </row>
    <row r="92" spans="1:15" x14ac:dyDescent="0.25">
      <c r="A92" s="29">
        <v>1021237</v>
      </c>
      <c r="B92" s="29">
        <v>2</v>
      </c>
      <c r="C92" s="29">
        <v>300</v>
      </c>
      <c r="D92" s="8"/>
      <c r="E92" s="34">
        <v>0.99</v>
      </c>
      <c r="F92" s="31">
        <v>-0.25</v>
      </c>
      <c r="G92" s="31">
        <v>0.6</v>
      </c>
      <c r="H92" s="9"/>
      <c r="I92" s="35">
        <v>1.99</v>
      </c>
      <c r="J92" s="33">
        <v>1.6</v>
      </c>
      <c r="K92" s="33">
        <v>2</v>
      </c>
      <c r="M92" s="24"/>
      <c r="O92" s="25"/>
    </row>
    <row r="93" spans="1:15" x14ac:dyDescent="0.25">
      <c r="A93" s="29">
        <v>1021237</v>
      </c>
      <c r="B93" s="29">
        <v>2</v>
      </c>
      <c r="C93" s="29">
        <v>300</v>
      </c>
      <c r="D93" s="8"/>
      <c r="E93" s="34">
        <v>0.99</v>
      </c>
      <c r="F93" s="31">
        <v>-0.25</v>
      </c>
      <c r="G93" s="31">
        <v>0.6</v>
      </c>
      <c r="H93" s="9"/>
      <c r="I93" s="35">
        <v>1.99</v>
      </c>
      <c r="J93" s="33">
        <v>1.6</v>
      </c>
      <c r="K93" s="33">
        <v>2</v>
      </c>
      <c r="M93" s="24"/>
      <c r="O93" s="25"/>
    </row>
    <row r="94" spans="1:15" x14ac:dyDescent="0.25">
      <c r="A94" s="7">
        <v>1020843</v>
      </c>
      <c r="B94" s="7">
        <v>2</v>
      </c>
      <c r="C94" s="7">
        <v>670</v>
      </c>
      <c r="D94" s="8"/>
      <c r="E94" s="75">
        <v>0.79</v>
      </c>
      <c r="F94" s="76">
        <v>-0.25</v>
      </c>
      <c r="G94" s="76">
        <v>0.6</v>
      </c>
      <c r="H94" s="9"/>
      <c r="I94" s="35">
        <v>1.92</v>
      </c>
      <c r="J94" s="20">
        <v>1.6</v>
      </c>
      <c r="K94" s="20">
        <v>2</v>
      </c>
      <c r="M94" s="24"/>
      <c r="O94" s="25"/>
    </row>
    <row r="95" spans="1:15" x14ac:dyDescent="0.25">
      <c r="A95" s="7">
        <v>1020843</v>
      </c>
      <c r="B95" s="7">
        <v>2</v>
      </c>
      <c r="C95" s="7">
        <v>670</v>
      </c>
      <c r="D95" s="8"/>
      <c r="E95" s="75">
        <v>0.79</v>
      </c>
      <c r="F95" s="76">
        <v>-0.25</v>
      </c>
      <c r="G95" s="76">
        <v>0.6</v>
      </c>
      <c r="H95" s="9"/>
      <c r="I95" s="55">
        <v>1.8</v>
      </c>
      <c r="J95" s="20">
        <v>1.6</v>
      </c>
      <c r="K95" s="20">
        <v>2</v>
      </c>
      <c r="M95" s="24"/>
      <c r="O95" s="25"/>
    </row>
    <row r="96" spans="1:15" x14ac:dyDescent="0.25">
      <c r="A96" s="7">
        <v>1020843</v>
      </c>
      <c r="B96" s="7">
        <v>2</v>
      </c>
      <c r="C96" s="7">
        <v>670</v>
      </c>
      <c r="D96" s="8"/>
      <c r="E96" s="75">
        <v>0.49</v>
      </c>
      <c r="F96" s="76">
        <v>-0.25</v>
      </c>
      <c r="G96" s="76">
        <v>0.6</v>
      </c>
      <c r="H96" s="9"/>
      <c r="I96" s="55">
        <v>1.7</v>
      </c>
      <c r="J96" s="20">
        <v>1.6</v>
      </c>
      <c r="K96" s="20">
        <v>2</v>
      </c>
      <c r="M96" s="24"/>
      <c r="O96" s="25"/>
    </row>
    <row r="97" spans="1:15" x14ac:dyDescent="0.25">
      <c r="A97" s="7">
        <v>1020843</v>
      </c>
      <c r="B97" s="7">
        <v>2</v>
      </c>
      <c r="C97" s="7">
        <v>670</v>
      </c>
      <c r="D97" s="8"/>
      <c r="E97" s="75">
        <v>0.49</v>
      </c>
      <c r="F97" s="76">
        <v>-0.25</v>
      </c>
      <c r="G97" s="76">
        <v>0.6</v>
      </c>
      <c r="H97" s="9"/>
      <c r="I97" s="55">
        <v>1.64</v>
      </c>
      <c r="J97" s="20">
        <v>1.6</v>
      </c>
      <c r="K97" s="20">
        <v>2</v>
      </c>
      <c r="M97" s="24"/>
      <c r="O97" s="25"/>
    </row>
    <row r="98" spans="1:15" x14ac:dyDescent="0.25">
      <c r="A98" s="29">
        <v>1015517</v>
      </c>
      <c r="B98" s="29">
        <v>3</v>
      </c>
      <c r="C98" s="29">
        <v>355</v>
      </c>
      <c r="D98" s="8"/>
      <c r="E98" s="34">
        <v>1.85</v>
      </c>
      <c r="F98" s="31">
        <v>0.9</v>
      </c>
      <c r="G98" s="31">
        <v>1.75</v>
      </c>
      <c r="H98" s="9"/>
      <c r="I98" s="35">
        <v>2.8</v>
      </c>
      <c r="J98" s="33">
        <v>2.6</v>
      </c>
      <c r="K98" s="33">
        <v>3</v>
      </c>
      <c r="M98" s="24"/>
      <c r="O98" s="25"/>
    </row>
    <row r="99" spans="1:15" x14ac:dyDescent="0.25">
      <c r="A99" s="29">
        <v>1015517</v>
      </c>
      <c r="B99" s="29">
        <v>3</v>
      </c>
      <c r="C99" s="29">
        <v>355</v>
      </c>
      <c r="D99" s="8"/>
      <c r="E99" s="34">
        <v>1.85</v>
      </c>
      <c r="F99" s="31">
        <v>0.9</v>
      </c>
      <c r="G99" s="31">
        <v>1.75</v>
      </c>
      <c r="H99" s="9"/>
      <c r="I99" s="35">
        <v>2.8</v>
      </c>
      <c r="J99" s="33">
        <v>2.6</v>
      </c>
      <c r="K99" s="33">
        <v>3</v>
      </c>
      <c r="M99" s="24"/>
      <c r="O99" s="25"/>
    </row>
    <row r="100" spans="1:15" x14ac:dyDescent="0.25">
      <c r="A100" s="29">
        <v>1015517</v>
      </c>
      <c r="B100" s="29">
        <v>3</v>
      </c>
      <c r="C100" s="29">
        <v>355</v>
      </c>
      <c r="D100" s="8"/>
      <c r="E100" s="34">
        <v>1.85</v>
      </c>
      <c r="F100" s="31">
        <v>0.9</v>
      </c>
      <c r="G100" s="31">
        <v>1.75</v>
      </c>
      <c r="H100" s="9"/>
      <c r="I100" s="35">
        <v>2.85</v>
      </c>
      <c r="J100" s="33">
        <v>2.6</v>
      </c>
      <c r="K100" s="33">
        <v>3</v>
      </c>
      <c r="M100" s="24"/>
      <c r="O100" s="25"/>
    </row>
    <row r="101" spans="1:15" x14ac:dyDescent="0.25">
      <c r="A101" s="29">
        <v>1015512</v>
      </c>
      <c r="B101" s="29">
        <v>3</v>
      </c>
      <c r="C101" s="29">
        <v>345</v>
      </c>
      <c r="D101" s="8"/>
      <c r="E101" s="34">
        <v>1.71</v>
      </c>
      <c r="F101" s="31">
        <v>0.9</v>
      </c>
      <c r="G101" s="31">
        <v>1.75</v>
      </c>
      <c r="H101" s="9"/>
      <c r="I101" s="35">
        <v>2.99</v>
      </c>
      <c r="J101" s="33">
        <v>2.6</v>
      </c>
      <c r="K101" s="33">
        <v>3</v>
      </c>
      <c r="M101" s="24"/>
      <c r="O101" s="25"/>
    </row>
    <row r="102" spans="1:15" x14ac:dyDescent="0.25">
      <c r="A102" s="29">
        <v>1015512</v>
      </c>
      <c r="B102" s="29">
        <v>3</v>
      </c>
      <c r="C102" s="29">
        <v>345</v>
      </c>
      <c r="D102" s="8"/>
      <c r="E102" s="34">
        <v>1.71</v>
      </c>
      <c r="F102" s="31">
        <v>0.9</v>
      </c>
      <c r="G102" s="31">
        <v>1.75</v>
      </c>
      <c r="H102" s="9"/>
      <c r="I102" s="35">
        <v>2.99</v>
      </c>
      <c r="J102" s="33">
        <v>2.6</v>
      </c>
      <c r="K102" s="33">
        <v>3</v>
      </c>
      <c r="M102" s="24"/>
      <c r="O102" s="25"/>
    </row>
    <row r="103" spans="1:15" x14ac:dyDescent="0.25">
      <c r="A103" s="29">
        <v>1015512</v>
      </c>
      <c r="B103" s="29">
        <v>3</v>
      </c>
      <c r="C103" s="29">
        <v>345</v>
      </c>
      <c r="D103" s="8"/>
      <c r="E103" s="34">
        <v>1.71</v>
      </c>
      <c r="F103" s="31">
        <v>0.9</v>
      </c>
      <c r="G103" s="31">
        <v>1.75</v>
      </c>
      <c r="H103" s="9"/>
      <c r="I103" s="35">
        <v>2.99</v>
      </c>
      <c r="J103" s="33">
        <v>2.6</v>
      </c>
      <c r="K103" s="33">
        <v>3</v>
      </c>
      <c r="M103" s="24"/>
      <c r="O103" s="25"/>
    </row>
    <row r="104" spans="1:15" x14ac:dyDescent="0.25">
      <c r="A104" s="29">
        <v>1015512</v>
      </c>
      <c r="B104" s="29">
        <v>3</v>
      </c>
      <c r="C104" s="29">
        <v>345</v>
      </c>
      <c r="D104" s="8"/>
      <c r="E104" s="34">
        <v>1.71</v>
      </c>
      <c r="F104" s="31">
        <v>0.9</v>
      </c>
      <c r="G104" s="31">
        <v>1.75</v>
      </c>
      <c r="H104" s="9"/>
      <c r="I104" s="35">
        <v>2.99</v>
      </c>
      <c r="J104" s="33">
        <v>2.6</v>
      </c>
      <c r="K104" s="33">
        <v>3</v>
      </c>
      <c r="M104" s="24"/>
      <c r="O104" s="25"/>
    </row>
    <row r="105" spans="1:15" x14ac:dyDescent="0.25">
      <c r="A105" s="29">
        <v>1015512</v>
      </c>
      <c r="B105" s="29">
        <v>3</v>
      </c>
      <c r="C105" s="29">
        <v>345</v>
      </c>
      <c r="D105" s="8"/>
      <c r="E105" s="34">
        <v>1.71</v>
      </c>
      <c r="F105" s="31">
        <v>0.9</v>
      </c>
      <c r="G105" s="31">
        <v>1.75</v>
      </c>
      <c r="H105" s="9"/>
      <c r="I105" s="35">
        <v>2.99</v>
      </c>
      <c r="J105" s="33">
        <v>2.6</v>
      </c>
      <c r="K105" s="33">
        <v>3</v>
      </c>
      <c r="M105" s="24"/>
      <c r="O105" s="25"/>
    </row>
    <row r="106" spans="1:15" x14ac:dyDescent="0.25">
      <c r="A106" s="29">
        <v>1015512</v>
      </c>
      <c r="B106" s="29">
        <v>3</v>
      </c>
      <c r="C106" s="29">
        <v>345</v>
      </c>
      <c r="D106" s="8"/>
      <c r="E106" s="34">
        <v>1.71</v>
      </c>
      <c r="F106" s="31">
        <v>0.9</v>
      </c>
      <c r="G106" s="31">
        <v>1.75</v>
      </c>
      <c r="H106" s="9"/>
      <c r="I106" s="35">
        <v>2.99</v>
      </c>
      <c r="J106" s="33">
        <v>2.6</v>
      </c>
      <c r="K106" s="33">
        <v>3</v>
      </c>
      <c r="M106" s="24"/>
      <c r="O106" s="25"/>
    </row>
    <row r="107" spans="1:15" x14ac:dyDescent="0.25">
      <c r="A107" s="29">
        <v>1015512</v>
      </c>
      <c r="B107" s="29">
        <v>3</v>
      </c>
      <c r="C107" s="29">
        <v>345</v>
      </c>
      <c r="D107" s="8"/>
      <c r="E107" s="34">
        <v>1.71</v>
      </c>
      <c r="F107" s="31">
        <v>0.9</v>
      </c>
      <c r="G107" s="31">
        <v>1.75</v>
      </c>
      <c r="H107" s="9"/>
      <c r="I107" s="35">
        <v>2.99</v>
      </c>
      <c r="J107" s="33">
        <v>2.6</v>
      </c>
      <c r="K107" s="33">
        <v>3</v>
      </c>
      <c r="M107" s="24"/>
      <c r="O107" s="25"/>
    </row>
    <row r="108" spans="1:15" x14ac:dyDescent="0.25">
      <c r="A108" s="29">
        <v>1015512</v>
      </c>
      <c r="B108" s="29">
        <v>3</v>
      </c>
      <c r="C108" s="29">
        <v>345</v>
      </c>
      <c r="D108" s="8"/>
      <c r="E108" s="34">
        <v>1.71</v>
      </c>
      <c r="F108" s="31">
        <v>0.9</v>
      </c>
      <c r="G108" s="31">
        <v>1.75</v>
      </c>
      <c r="H108" s="9"/>
      <c r="I108" s="35">
        <v>2.99</v>
      </c>
      <c r="J108" s="33">
        <v>2.6</v>
      </c>
      <c r="K108" s="33">
        <v>3</v>
      </c>
      <c r="M108" s="24"/>
      <c r="O108" s="25"/>
    </row>
    <row r="109" spans="1:15" x14ac:dyDescent="0.25">
      <c r="A109" s="29">
        <v>1015512</v>
      </c>
      <c r="B109" s="29">
        <v>3</v>
      </c>
      <c r="C109" s="29">
        <v>345</v>
      </c>
      <c r="D109" s="8"/>
      <c r="E109" s="34">
        <v>1.71</v>
      </c>
      <c r="F109" s="31">
        <v>0.9</v>
      </c>
      <c r="G109" s="31">
        <v>1.75</v>
      </c>
      <c r="H109" s="9"/>
      <c r="I109" s="35">
        <v>2.99</v>
      </c>
      <c r="J109" s="33">
        <v>2.6</v>
      </c>
      <c r="K109" s="33">
        <v>3</v>
      </c>
      <c r="M109" s="24"/>
      <c r="O109" s="25"/>
    </row>
    <row r="110" spans="1:15" x14ac:dyDescent="0.25">
      <c r="A110" s="29">
        <v>1015512</v>
      </c>
      <c r="B110" s="29">
        <v>3</v>
      </c>
      <c r="C110" s="29">
        <v>345</v>
      </c>
      <c r="D110" s="8"/>
      <c r="E110" s="34">
        <v>1.71</v>
      </c>
      <c r="F110" s="31">
        <v>0.9</v>
      </c>
      <c r="G110" s="31">
        <v>1.75</v>
      </c>
      <c r="H110" s="9"/>
      <c r="I110" s="35">
        <v>2.99</v>
      </c>
      <c r="J110" s="33">
        <v>2.6</v>
      </c>
      <c r="K110" s="33">
        <v>3</v>
      </c>
      <c r="M110" s="24"/>
      <c r="O110" s="25"/>
    </row>
    <row r="111" spans="1:15" x14ac:dyDescent="0.25">
      <c r="A111" s="29">
        <v>1015512</v>
      </c>
      <c r="B111" s="29">
        <v>3</v>
      </c>
      <c r="C111" s="29">
        <v>345</v>
      </c>
      <c r="D111" s="8"/>
      <c r="E111" s="34">
        <v>1.71</v>
      </c>
      <c r="F111" s="31">
        <v>0.9</v>
      </c>
      <c r="G111" s="31">
        <v>1.75</v>
      </c>
      <c r="H111" s="9"/>
      <c r="I111" s="35">
        <v>2.99</v>
      </c>
      <c r="J111" s="33">
        <v>2.6</v>
      </c>
      <c r="K111" s="33">
        <v>3</v>
      </c>
      <c r="M111" s="24"/>
      <c r="O111" s="25"/>
    </row>
    <row r="112" spans="1:15" x14ac:dyDescent="0.25">
      <c r="A112" s="29">
        <v>1015512</v>
      </c>
      <c r="B112" s="29">
        <v>3</v>
      </c>
      <c r="C112" s="29">
        <v>345</v>
      </c>
      <c r="D112" s="8"/>
      <c r="E112" s="34">
        <v>1.71</v>
      </c>
      <c r="F112" s="31">
        <v>0.9</v>
      </c>
      <c r="G112" s="31">
        <v>1.75</v>
      </c>
      <c r="H112" s="9"/>
      <c r="I112" s="35">
        <v>2.99</v>
      </c>
      <c r="J112" s="33">
        <v>2.6</v>
      </c>
      <c r="K112" s="33">
        <v>3</v>
      </c>
      <c r="M112" s="24"/>
      <c r="O112" s="25"/>
    </row>
    <row r="113" spans="1:15" x14ac:dyDescent="0.25">
      <c r="A113" s="29">
        <v>1015512</v>
      </c>
      <c r="B113" s="29">
        <v>3</v>
      </c>
      <c r="C113" s="29">
        <v>345</v>
      </c>
      <c r="D113" s="8"/>
      <c r="E113" s="34">
        <v>1.71</v>
      </c>
      <c r="F113" s="31">
        <v>0.9</v>
      </c>
      <c r="G113" s="31">
        <v>1.75</v>
      </c>
      <c r="H113" s="9"/>
      <c r="I113" s="35">
        <v>2.99</v>
      </c>
      <c r="J113" s="33">
        <v>2.6</v>
      </c>
      <c r="K113" s="33">
        <v>3</v>
      </c>
      <c r="M113" s="24"/>
      <c r="O113" s="25"/>
    </row>
    <row r="114" spans="1:15" x14ac:dyDescent="0.25">
      <c r="A114" s="29">
        <v>1015512</v>
      </c>
      <c r="B114" s="29">
        <v>3</v>
      </c>
      <c r="C114" s="29">
        <v>345</v>
      </c>
      <c r="D114" s="8"/>
      <c r="E114" s="34">
        <v>1.71</v>
      </c>
      <c r="F114" s="31">
        <v>0.9</v>
      </c>
      <c r="G114" s="31">
        <v>1.75</v>
      </c>
      <c r="H114" s="9"/>
      <c r="I114" s="35">
        <v>3</v>
      </c>
      <c r="J114" s="33">
        <v>2.6</v>
      </c>
      <c r="K114" s="33">
        <v>3</v>
      </c>
      <c r="M114" s="24"/>
      <c r="O114" s="25"/>
    </row>
    <row r="115" spans="1:15" x14ac:dyDescent="0.25">
      <c r="A115" s="29">
        <v>1015512</v>
      </c>
      <c r="B115" s="29">
        <v>3</v>
      </c>
      <c r="C115" s="29">
        <v>345</v>
      </c>
      <c r="D115" s="8"/>
      <c r="E115" s="34">
        <v>1.71</v>
      </c>
      <c r="F115" s="31">
        <v>0.9</v>
      </c>
      <c r="G115" s="31">
        <v>1.75</v>
      </c>
      <c r="H115" s="9"/>
      <c r="I115" s="35">
        <v>3</v>
      </c>
      <c r="J115" s="33">
        <v>2.6</v>
      </c>
      <c r="K115" s="33">
        <v>3</v>
      </c>
      <c r="M115" s="24"/>
      <c r="O115" s="25"/>
    </row>
    <row r="116" spans="1:15" x14ac:dyDescent="0.25">
      <c r="A116" s="29">
        <v>1015512</v>
      </c>
      <c r="B116" s="29">
        <v>3</v>
      </c>
      <c r="C116" s="29">
        <v>345</v>
      </c>
      <c r="D116" s="8"/>
      <c r="E116" s="34">
        <v>1.71</v>
      </c>
      <c r="F116" s="31">
        <v>0.9</v>
      </c>
      <c r="G116" s="31">
        <v>1.75</v>
      </c>
      <c r="H116" s="9"/>
      <c r="I116" s="35">
        <v>3</v>
      </c>
      <c r="J116" s="33">
        <v>2.6</v>
      </c>
      <c r="K116" s="33">
        <v>3</v>
      </c>
      <c r="M116" s="24"/>
      <c r="O116" s="25"/>
    </row>
    <row r="117" spans="1:15" x14ac:dyDescent="0.25">
      <c r="A117" s="29">
        <v>1015512</v>
      </c>
      <c r="B117" s="29">
        <v>3</v>
      </c>
      <c r="C117" s="29">
        <v>345</v>
      </c>
      <c r="D117" s="8"/>
      <c r="E117" s="34">
        <v>1.71</v>
      </c>
      <c r="F117" s="31">
        <v>0.9</v>
      </c>
      <c r="G117" s="31">
        <v>1.75</v>
      </c>
      <c r="H117" s="9"/>
      <c r="I117" s="35">
        <v>3</v>
      </c>
      <c r="J117" s="33">
        <v>2.6</v>
      </c>
      <c r="K117" s="33">
        <v>3</v>
      </c>
      <c r="M117" s="24"/>
      <c r="O117" s="25"/>
    </row>
    <row r="118" spans="1:15" x14ac:dyDescent="0.25">
      <c r="A118" s="29">
        <v>1015512</v>
      </c>
      <c r="B118" s="29">
        <v>3</v>
      </c>
      <c r="C118" s="29">
        <v>345</v>
      </c>
      <c r="D118" s="8"/>
      <c r="E118" s="34">
        <v>1.71</v>
      </c>
      <c r="F118" s="31">
        <v>0.9</v>
      </c>
      <c r="G118" s="31">
        <v>1.75</v>
      </c>
      <c r="H118" s="9"/>
      <c r="I118" s="35">
        <v>3</v>
      </c>
      <c r="J118" s="33">
        <v>2.6</v>
      </c>
      <c r="K118" s="33">
        <v>3</v>
      </c>
      <c r="M118" s="24"/>
      <c r="O118" s="25"/>
    </row>
    <row r="119" spans="1:15" x14ac:dyDescent="0.25">
      <c r="A119" s="29">
        <v>1015512</v>
      </c>
      <c r="B119" s="29">
        <v>3</v>
      </c>
      <c r="C119" s="29">
        <v>345</v>
      </c>
      <c r="D119" s="8"/>
      <c r="E119" s="34">
        <v>1.71</v>
      </c>
      <c r="F119" s="31">
        <v>0.9</v>
      </c>
      <c r="G119" s="31">
        <v>1.75</v>
      </c>
      <c r="H119" s="9"/>
      <c r="I119" s="35">
        <v>3</v>
      </c>
      <c r="J119" s="33">
        <v>2.6</v>
      </c>
      <c r="K119" s="33">
        <v>3</v>
      </c>
      <c r="M119" s="24"/>
      <c r="O119" s="25"/>
    </row>
    <row r="120" spans="1:15" x14ac:dyDescent="0.25">
      <c r="A120" s="29">
        <v>1015544</v>
      </c>
      <c r="B120" s="29">
        <v>3</v>
      </c>
      <c r="C120" s="29">
        <v>388</v>
      </c>
      <c r="D120" s="8"/>
      <c r="E120" s="34">
        <v>1.61</v>
      </c>
      <c r="F120" s="31">
        <v>0.9</v>
      </c>
      <c r="G120" s="31">
        <v>1.7</v>
      </c>
      <c r="H120" s="9"/>
      <c r="I120" s="35">
        <v>2.96</v>
      </c>
      <c r="J120" s="33">
        <v>2.6</v>
      </c>
      <c r="K120" s="33">
        <v>3</v>
      </c>
      <c r="M120" s="24"/>
      <c r="O120" s="25"/>
    </row>
    <row r="121" spans="1:15" x14ac:dyDescent="0.25">
      <c r="A121" s="29">
        <v>1015544</v>
      </c>
      <c r="B121" s="29">
        <v>3</v>
      </c>
      <c r="C121" s="29">
        <v>388</v>
      </c>
      <c r="D121" s="8"/>
      <c r="E121" s="34">
        <v>1.61</v>
      </c>
      <c r="F121" s="31">
        <v>0.9</v>
      </c>
      <c r="G121" s="31">
        <v>1.7</v>
      </c>
      <c r="H121" s="9"/>
      <c r="I121" s="35">
        <v>2.96</v>
      </c>
      <c r="J121" s="33">
        <v>2.6</v>
      </c>
      <c r="K121" s="33">
        <v>3</v>
      </c>
      <c r="M121" s="24"/>
      <c r="O121" s="25"/>
    </row>
    <row r="122" spans="1:15" x14ac:dyDescent="0.25">
      <c r="A122" s="29">
        <v>1015544</v>
      </c>
      <c r="B122" s="29">
        <v>3</v>
      </c>
      <c r="C122" s="29">
        <v>388</v>
      </c>
      <c r="D122" s="8"/>
      <c r="E122" s="34">
        <v>1.61</v>
      </c>
      <c r="F122" s="31">
        <v>0.9</v>
      </c>
      <c r="G122" s="31">
        <v>1.7</v>
      </c>
      <c r="H122" s="9"/>
      <c r="I122" s="35">
        <v>2.96</v>
      </c>
      <c r="J122" s="33">
        <v>2.6</v>
      </c>
      <c r="K122" s="33">
        <v>3</v>
      </c>
      <c r="M122" s="24"/>
      <c r="O122" s="25"/>
    </row>
    <row r="123" spans="1:15" x14ac:dyDescent="0.25">
      <c r="A123" s="29">
        <v>1015544</v>
      </c>
      <c r="B123" s="29">
        <v>3</v>
      </c>
      <c r="C123" s="29">
        <v>388</v>
      </c>
      <c r="D123" s="8"/>
      <c r="E123" s="34">
        <v>1.61</v>
      </c>
      <c r="F123" s="31">
        <v>0.9</v>
      </c>
      <c r="G123" s="31">
        <v>1.7</v>
      </c>
      <c r="H123" s="9"/>
      <c r="I123" s="35">
        <v>2.96</v>
      </c>
      <c r="J123" s="33">
        <v>2.6</v>
      </c>
      <c r="K123" s="33">
        <v>3</v>
      </c>
      <c r="M123" s="24"/>
      <c r="O123" s="25"/>
    </row>
    <row r="124" spans="1:15" x14ac:dyDescent="0.25">
      <c r="A124" s="29">
        <v>1015511</v>
      </c>
      <c r="B124" s="29">
        <v>3</v>
      </c>
      <c r="C124" s="29">
        <v>332</v>
      </c>
      <c r="D124" s="8"/>
      <c r="E124" s="34">
        <v>1.84</v>
      </c>
      <c r="F124" s="31">
        <v>0.9</v>
      </c>
      <c r="G124" s="31">
        <v>1.7</v>
      </c>
      <c r="H124" s="9"/>
      <c r="I124" s="35">
        <v>2.96</v>
      </c>
      <c r="J124" s="33">
        <v>2.6</v>
      </c>
      <c r="K124" s="33">
        <v>3</v>
      </c>
      <c r="M124" s="24"/>
      <c r="O124" s="25"/>
    </row>
    <row r="125" spans="1:15" x14ac:dyDescent="0.25">
      <c r="A125" s="29">
        <v>1015511</v>
      </c>
      <c r="B125" s="29">
        <v>3</v>
      </c>
      <c r="C125" s="29">
        <v>332</v>
      </c>
      <c r="D125" s="8"/>
      <c r="E125" s="34">
        <v>1.84</v>
      </c>
      <c r="F125" s="31">
        <v>0.9</v>
      </c>
      <c r="G125" s="31">
        <v>1.7</v>
      </c>
      <c r="H125" s="9"/>
      <c r="I125" s="35">
        <v>2.96</v>
      </c>
      <c r="J125" s="33">
        <v>2.6</v>
      </c>
      <c r="K125" s="33">
        <v>3</v>
      </c>
      <c r="M125" s="24"/>
      <c r="O125" s="25"/>
    </row>
    <row r="126" spans="1:15" x14ac:dyDescent="0.25">
      <c r="A126" s="29">
        <v>1020741</v>
      </c>
      <c r="B126" s="29">
        <v>3</v>
      </c>
      <c r="C126" s="29">
        <v>190</v>
      </c>
      <c r="D126" s="8"/>
      <c r="E126" s="34">
        <v>2</v>
      </c>
      <c r="F126" s="31">
        <v>0.9</v>
      </c>
      <c r="G126" s="31">
        <v>1.75</v>
      </c>
      <c r="H126" s="9"/>
      <c r="I126" s="35">
        <v>3</v>
      </c>
      <c r="J126" s="33">
        <v>2.6</v>
      </c>
      <c r="K126" s="33">
        <v>3</v>
      </c>
      <c r="M126" s="24"/>
      <c r="O126" s="25"/>
    </row>
    <row r="127" spans="1:15" x14ac:dyDescent="0.25">
      <c r="A127" s="29">
        <v>1020741</v>
      </c>
      <c r="B127" s="29">
        <v>3</v>
      </c>
      <c r="C127" s="29">
        <v>190</v>
      </c>
      <c r="D127" s="8"/>
      <c r="E127" s="34">
        <v>2</v>
      </c>
      <c r="F127" s="31">
        <v>0.9</v>
      </c>
      <c r="G127" s="31">
        <v>1.75</v>
      </c>
      <c r="H127" s="9"/>
      <c r="I127" s="35">
        <v>3</v>
      </c>
      <c r="J127" s="33">
        <v>2.6</v>
      </c>
      <c r="K127" s="33">
        <v>3</v>
      </c>
      <c r="M127" s="24"/>
      <c r="O127" s="25"/>
    </row>
    <row r="128" spans="1:15" x14ac:dyDescent="0.25">
      <c r="A128" s="29">
        <v>1020741</v>
      </c>
      <c r="B128" s="29">
        <v>3</v>
      </c>
      <c r="C128" s="29">
        <v>190</v>
      </c>
      <c r="D128" s="8"/>
      <c r="E128" s="34">
        <v>2</v>
      </c>
      <c r="F128" s="31">
        <v>0.9</v>
      </c>
      <c r="G128" s="31">
        <v>1.75</v>
      </c>
      <c r="H128" s="9"/>
      <c r="I128" s="35">
        <v>3</v>
      </c>
      <c r="J128" s="33">
        <v>2.6</v>
      </c>
      <c r="K128" s="33">
        <v>3</v>
      </c>
      <c r="M128" s="24"/>
      <c r="O128" s="25"/>
    </row>
    <row r="129" spans="1:15" x14ac:dyDescent="0.25">
      <c r="A129" s="29">
        <v>1020741</v>
      </c>
      <c r="B129" s="29">
        <v>3</v>
      </c>
      <c r="C129" s="29">
        <v>190</v>
      </c>
      <c r="D129" s="8"/>
      <c r="E129" s="34">
        <v>2</v>
      </c>
      <c r="F129" s="31">
        <v>0.9</v>
      </c>
      <c r="G129" s="31">
        <v>1.75</v>
      </c>
      <c r="H129" s="9"/>
      <c r="I129" s="35">
        <v>3</v>
      </c>
      <c r="J129" s="33">
        <v>2.6</v>
      </c>
      <c r="K129" s="33">
        <v>3</v>
      </c>
      <c r="M129" s="24"/>
      <c r="O129" s="25"/>
    </row>
    <row r="130" spans="1:15" x14ac:dyDescent="0.25">
      <c r="A130" s="29">
        <v>1020741</v>
      </c>
      <c r="B130" s="29">
        <v>3</v>
      </c>
      <c r="C130" s="29">
        <v>190</v>
      </c>
      <c r="D130" s="8"/>
      <c r="E130" s="34">
        <v>2</v>
      </c>
      <c r="F130" s="31">
        <v>0.9</v>
      </c>
      <c r="G130" s="31">
        <v>1.75</v>
      </c>
      <c r="H130" s="9"/>
      <c r="I130" s="35">
        <v>3</v>
      </c>
      <c r="J130" s="33">
        <v>2.6</v>
      </c>
      <c r="K130" s="33">
        <v>3</v>
      </c>
      <c r="M130" s="24"/>
      <c r="O130" s="25"/>
    </row>
    <row r="131" spans="1:15" x14ac:dyDescent="0.25">
      <c r="A131" s="29">
        <v>1017089</v>
      </c>
      <c r="B131" s="29">
        <v>3</v>
      </c>
      <c r="C131" s="29">
        <v>236</v>
      </c>
      <c r="D131" s="8"/>
      <c r="E131" s="34">
        <v>2.35</v>
      </c>
      <c r="F131" s="31">
        <v>0.9</v>
      </c>
      <c r="G131" s="31">
        <v>1.75</v>
      </c>
      <c r="H131" s="9"/>
      <c r="I131" s="35">
        <v>3</v>
      </c>
      <c r="J131" s="33">
        <v>2.6</v>
      </c>
      <c r="K131" s="33">
        <v>3</v>
      </c>
      <c r="M131" s="24"/>
      <c r="O131" s="25"/>
    </row>
    <row r="132" spans="1:15" x14ac:dyDescent="0.25">
      <c r="A132" s="29">
        <v>1017089</v>
      </c>
      <c r="B132" s="29">
        <v>3</v>
      </c>
      <c r="C132" s="29">
        <v>236</v>
      </c>
      <c r="D132" s="8"/>
      <c r="E132" s="34">
        <v>2.35</v>
      </c>
      <c r="F132" s="31">
        <v>0.9</v>
      </c>
      <c r="G132" s="31">
        <v>1.75</v>
      </c>
      <c r="H132" s="9"/>
      <c r="I132" s="35">
        <v>3</v>
      </c>
      <c r="J132" s="33">
        <v>2.6</v>
      </c>
      <c r="K132" s="33">
        <v>3</v>
      </c>
      <c r="M132" s="24"/>
      <c r="O132" s="25"/>
    </row>
    <row r="133" spans="1:15" x14ac:dyDescent="0.25">
      <c r="A133" s="29">
        <v>1017089</v>
      </c>
      <c r="B133" s="29">
        <v>3</v>
      </c>
      <c r="C133" s="29">
        <v>236</v>
      </c>
      <c r="D133" s="8"/>
      <c r="E133" s="34">
        <v>2.35</v>
      </c>
      <c r="F133" s="31">
        <v>0.9</v>
      </c>
      <c r="G133" s="31">
        <v>1.75</v>
      </c>
      <c r="H133" s="9"/>
      <c r="I133" s="35">
        <v>3</v>
      </c>
      <c r="J133" s="33">
        <v>2.6</v>
      </c>
      <c r="K133" s="33">
        <v>3</v>
      </c>
      <c r="M133" s="24"/>
      <c r="O133" s="25"/>
    </row>
    <row r="134" spans="1:15" x14ac:dyDescent="0.25">
      <c r="A134" s="29">
        <v>1015542</v>
      </c>
      <c r="B134" s="29">
        <v>3</v>
      </c>
      <c r="C134" s="29">
        <v>285</v>
      </c>
      <c r="D134" s="8"/>
      <c r="E134" s="34">
        <v>1.85</v>
      </c>
      <c r="F134" s="31">
        <v>0.9</v>
      </c>
      <c r="G134" s="31">
        <v>1.75</v>
      </c>
      <c r="H134" s="9"/>
      <c r="I134" s="35">
        <v>2.8</v>
      </c>
      <c r="J134" s="33">
        <v>2.6</v>
      </c>
      <c r="K134" s="33">
        <v>3</v>
      </c>
      <c r="M134" s="24"/>
      <c r="O134" s="25"/>
    </row>
    <row r="135" spans="1:15" x14ac:dyDescent="0.25">
      <c r="A135" s="29">
        <v>1015542</v>
      </c>
      <c r="B135" s="29">
        <v>3</v>
      </c>
      <c r="C135" s="29">
        <v>285</v>
      </c>
      <c r="D135" s="8"/>
      <c r="E135" s="34">
        <v>1.85</v>
      </c>
      <c r="F135" s="31">
        <v>0.9</v>
      </c>
      <c r="G135" s="31">
        <v>1.75</v>
      </c>
      <c r="H135" s="9"/>
      <c r="I135" s="35">
        <v>2.8</v>
      </c>
      <c r="J135" s="33">
        <v>2.6</v>
      </c>
      <c r="K135" s="33">
        <v>3</v>
      </c>
      <c r="M135" s="24"/>
      <c r="O135" s="25"/>
    </row>
    <row r="136" spans="1:15" x14ac:dyDescent="0.25">
      <c r="A136" s="29">
        <v>1015542</v>
      </c>
      <c r="B136" s="29">
        <v>3</v>
      </c>
      <c r="C136" s="29">
        <v>285</v>
      </c>
      <c r="D136" s="8"/>
      <c r="E136" s="34">
        <v>1.9</v>
      </c>
      <c r="F136" s="31">
        <v>0.9</v>
      </c>
      <c r="G136" s="31">
        <v>1.75</v>
      </c>
      <c r="H136" s="9"/>
      <c r="I136" s="35">
        <v>3</v>
      </c>
      <c r="J136" s="33">
        <v>2.6</v>
      </c>
      <c r="K136" s="33">
        <v>3</v>
      </c>
      <c r="M136" s="24"/>
      <c r="O136" s="25"/>
    </row>
    <row r="137" spans="1:15" x14ac:dyDescent="0.25">
      <c r="A137" s="29">
        <v>1015542</v>
      </c>
      <c r="B137" s="29">
        <v>3</v>
      </c>
      <c r="C137" s="29">
        <v>285</v>
      </c>
      <c r="D137" s="8"/>
      <c r="E137" s="34">
        <v>1.9</v>
      </c>
      <c r="F137" s="31">
        <v>0.9</v>
      </c>
      <c r="G137" s="31">
        <v>1.75</v>
      </c>
      <c r="H137" s="9"/>
      <c r="I137" s="35">
        <v>3</v>
      </c>
      <c r="J137" s="33">
        <v>2.6</v>
      </c>
      <c r="K137" s="33">
        <v>3</v>
      </c>
      <c r="M137" s="24"/>
      <c r="O137" s="25"/>
    </row>
    <row r="138" spans="1:15" x14ac:dyDescent="0.25">
      <c r="A138" s="29">
        <v>1015542</v>
      </c>
      <c r="B138" s="29">
        <v>3</v>
      </c>
      <c r="C138" s="29">
        <v>285</v>
      </c>
      <c r="D138" s="8"/>
      <c r="E138" s="34">
        <v>1.9</v>
      </c>
      <c r="F138" s="31">
        <v>0.9</v>
      </c>
      <c r="G138" s="31">
        <v>1.75</v>
      </c>
      <c r="H138" s="9"/>
      <c r="I138" s="35">
        <v>3</v>
      </c>
      <c r="J138" s="33">
        <v>2.6</v>
      </c>
      <c r="K138" s="33">
        <v>3</v>
      </c>
      <c r="M138" s="24"/>
      <c r="O138" s="25"/>
    </row>
    <row r="139" spans="1:15" x14ac:dyDescent="0.25">
      <c r="A139" s="29">
        <v>1015542</v>
      </c>
      <c r="B139" s="29">
        <v>3</v>
      </c>
      <c r="C139" s="29">
        <v>285</v>
      </c>
      <c r="D139" s="8"/>
      <c r="E139" s="34">
        <v>1.9</v>
      </c>
      <c r="F139" s="31">
        <v>0.9</v>
      </c>
      <c r="G139" s="31">
        <v>1.75</v>
      </c>
      <c r="H139" s="9"/>
      <c r="I139" s="35">
        <v>3</v>
      </c>
      <c r="J139" s="33">
        <v>2.6</v>
      </c>
      <c r="K139" s="33">
        <v>3</v>
      </c>
      <c r="M139" s="24"/>
      <c r="O139" s="25"/>
    </row>
    <row r="140" spans="1:15" x14ac:dyDescent="0.25">
      <c r="A140" s="29">
        <v>1020787</v>
      </c>
      <c r="B140" s="29">
        <v>3</v>
      </c>
      <c r="C140" s="29">
        <v>162</v>
      </c>
      <c r="D140" s="8"/>
      <c r="E140" s="34">
        <v>3</v>
      </c>
      <c r="F140" s="31">
        <v>0.9</v>
      </c>
      <c r="G140" s="31">
        <v>1.75</v>
      </c>
      <c r="H140" s="9"/>
      <c r="I140" s="35">
        <v>2.83</v>
      </c>
      <c r="J140" s="33">
        <v>2.6</v>
      </c>
      <c r="K140" s="33">
        <v>3</v>
      </c>
      <c r="M140" s="24"/>
      <c r="O140" s="25"/>
    </row>
    <row r="141" spans="1:15" x14ac:dyDescent="0.25">
      <c r="A141" s="29">
        <v>1015544</v>
      </c>
      <c r="B141" s="29">
        <v>3</v>
      </c>
      <c r="C141" s="29">
        <v>388</v>
      </c>
      <c r="D141" s="8"/>
      <c r="E141" s="34">
        <v>1.59</v>
      </c>
      <c r="F141" s="31">
        <v>0.9</v>
      </c>
      <c r="G141" s="31">
        <v>1.7</v>
      </c>
      <c r="H141" s="9"/>
      <c r="I141" s="35">
        <v>2.84</v>
      </c>
      <c r="J141" s="33">
        <v>2.6</v>
      </c>
      <c r="K141" s="33">
        <v>3</v>
      </c>
      <c r="M141" s="24"/>
      <c r="O141" s="25"/>
    </row>
    <row r="142" spans="1:15" x14ac:dyDescent="0.25">
      <c r="A142" s="29">
        <v>1015544</v>
      </c>
      <c r="B142" s="29">
        <v>3</v>
      </c>
      <c r="C142" s="29">
        <v>388</v>
      </c>
      <c r="D142" s="8"/>
      <c r="E142" s="34">
        <v>1.59</v>
      </c>
      <c r="F142" s="31">
        <v>0.9</v>
      </c>
      <c r="G142" s="31">
        <v>1.7</v>
      </c>
      <c r="H142" s="9"/>
      <c r="I142" s="35">
        <v>2.84</v>
      </c>
      <c r="J142" s="33">
        <v>2.6</v>
      </c>
      <c r="K142" s="33">
        <v>3</v>
      </c>
      <c r="M142" s="24"/>
      <c r="O142" s="25"/>
    </row>
    <row r="143" spans="1:15" x14ac:dyDescent="0.25">
      <c r="A143" s="29">
        <v>1015544</v>
      </c>
      <c r="B143" s="29">
        <v>3</v>
      </c>
      <c r="C143" s="29">
        <v>388</v>
      </c>
      <c r="D143" s="8"/>
      <c r="E143" s="34">
        <v>1.59</v>
      </c>
      <c r="F143" s="31">
        <v>0.9</v>
      </c>
      <c r="G143" s="31">
        <v>1.7</v>
      </c>
      <c r="H143" s="9"/>
      <c r="I143" s="35">
        <v>2.95</v>
      </c>
      <c r="J143" s="33">
        <v>2.6</v>
      </c>
      <c r="K143" s="33">
        <v>3</v>
      </c>
      <c r="M143" s="24"/>
      <c r="O143" s="25"/>
    </row>
    <row r="144" spans="1:15" x14ac:dyDescent="0.25">
      <c r="A144" s="29">
        <v>1015544</v>
      </c>
      <c r="B144" s="29">
        <v>3</v>
      </c>
      <c r="C144" s="29">
        <v>388</v>
      </c>
      <c r="D144" s="8"/>
      <c r="E144" s="34">
        <v>1.6</v>
      </c>
      <c r="F144" s="31">
        <v>0.9</v>
      </c>
      <c r="G144" s="31">
        <v>1.7</v>
      </c>
      <c r="H144" s="9"/>
      <c r="I144" s="35">
        <v>2.95</v>
      </c>
      <c r="J144" s="33">
        <v>2.6</v>
      </c>
      <c r="K144" s="33">
        <v>3</v>
      </c>
      <c r="M144" s="24"/>
      <c r="O144" s="25"/>
    </row>
    <row r="145" spans="1:15" x14ac:dyDescent="0.25">
      <c r="A145" s="29">
        <v>1015542</v>
      </c>
      <c r="B145" s="29">
        <v>3</v>
      </c>
      <c r="C145" s="29">
        <v>285</v>
      </c>
      <c r="D145" s="8"/>
      <c r="E145" s="34">
        <v>1.84</v>
      </c>
      <c r="F145" s="31">
        <v>0.9</v>
      </c>
      <c r="G145" s="31">
        <v>1.7</v>
      </c>
      <c r="H145" s="9"/>
      <c r="I145" s="35">
        <v>2.91</v>
      </c>
      <c r="J145" s="33">
        <v>2.6</v>
      </c>
      <c r="K145" s="33">
        <v>3</v>
      </c>
      <c r="M145" s="24"/>
      <c r="O145" s="25"/>
    </row>
    <row r="146" spans="1:15" x14ac:dyDescent="0.25">
      <c r="A146" s="29">
        <v>1015515</v>
      </c>
      <c r="B146" s="29">
        <v>3</v>
      </c>
      <c r="C146" s="29">
        <v>316</v>
      </c>
      <c r="D146" s="8"/>
      <c r="E146" s="34">
        <v>1.46</v>
      </c>
      <c r="F146" s="31">
        <v>0.9</v>
      </c>
      <c r="G146" s="31">
        <v>1.7</v>
      </c>
      <c r="H146" s="9"/>
      <c r="I146" s="35">
        <v>3.04</v>
      </c>
      <c r="J146" s="33">
        <v>2.6</v>
      </c>
      <c r="K146" s="33">
        <v>3</v>
      </c>
      <c r="M146" s="24"/>
      <c r="O146" s="25"/>
    </row>
    <row r="147" spans="1:15" x14ac:dyDescent="0.25">
      <c r="A147" s="29">
        <v>1015515</v>
      </c>
      <c r="B147" s="29">
        <v>3</v>
      </c>
      <c r="C147" s="29">
        <v>316</v>
      </c>
      <c r="D147" s="8"/>
      <c r="E147" s="34">
        <v>1.46</v>
      </c>
      <c r="F147" s="31">
        <v>0.9</v>
      </c>
      <c r="G147" s="31">
        <v>1.7</v>
      </c>
      <c r="H147" s="9"/>
      <c r="I147" s="35">
        <v>3.04</v>
      </c>
      <c r="J147" s="33">
        <v>2.6</v>
      </c>
      <c r="K147" s="33">
        <v>3</v>
      </c>
      <c r="M147" s="24"/>
      <c r="O147" s="25"/>
    </row>
    <row r="148" spans="1:15" x14ac:dyDescent="0.25">
      <c r="A148" s="29">
        <v>1020673</v>
      </c>
      <c r="B148" s="29">
        <v>3</v>
      </c>
      <c r="C148" s="29">
        <v>297</v>
      </c>
      <c r="D148" s="8"/>
      <c r="E148" s="34">
        <v>2</v>
      </c>
      <c r="F148" s="31">
        <v>0.9</v>
      </c>
      <c r="G148" s="31">
        <v>1.75</v>
      </c>
      <c r="H148" s="9"/>
      <c r="I148" s="35">
        <v>2.94</v>
      </c>
      <c r="J148" s="33">
        <v>2.6</v>
      </c>
      <c r="K148" s="33">
        <v>3</v>
      </c>
      <c r="M148" s="24"/>
      <c r="O148" s="25"/>
    </row>
    <row r="149" spans="1:15" x14ac:dyDescent="0.25">
      <c r="A149" s="29">
        <v>1015542</v>
      </c>
      <c r="B149" s="29">
        <v>3</v>
      </c>
      <c r="C149" s="29">
        <v>285</v>
      </c>
      <c r="D149" s="8"/>
      <c r="E149" s="34">
        <v>2</v>
      </c>
      <c r="F149" s="31">
        <v>0.9</v>
      </c>
      <c r="G149" s="31">
        <v>1.75</v>
      </c>
      <c r="H149" s="9"/>
      <c r="I149" s="35">
        <v>2.8</v>
      </c>
      <c r="J149" s="33">
        <v>2.6</v>
      </c>
      <c r="K149" s="33">
        <v>3</v>
      </c>
      <c r="M149" s="24"/>
      <c r="O149" s="25"/>
    </row>
    <row r="150" spans="1:15" x14ac:dyDescent="0.25">
      <c r="A150" s="29">
        <v>1015542</v>
      </c>
      <c r="B150" s="29">
        <v>3</v>
      </c>
      <c r="C150" s="29">
        <v>285</v>
      </c>
      <c r="D150" s="8"/>
      <c r="E150" s="34">
        <v>2</v>
      </c>
      <c r="F150" s="31">
        <v>0.9</v>
      </c>
      <c r="G150" s="31">
        <v>1.75</v>
      </c>
      <c r="H150" s="9"/>
      <c r="I150" s="35">
        <v>2.8</v>
      </c>
      <c r="J150" s="33">
        <v>2.6</v>
      </c>
      <c r="K150" s="33">
        <v>3</v>
      </c>
      <c r="M150" s="24"/>
      <c r="O150" s="25"/>
    </row>
    <row r="151" spans="1:15" x14ac:dyDescent="0.25">
      <c r="A151" s="29">
        <v>1015515</v>
      </c>
      <c r="B151" s="29">
        <v>3</v>
      </c>
      <c r="C151" s="29">
        <v>316</v>
      </c>
      <c r="D151" s="8"/>
      <c r="E151" s="34">
        <v>1.51</v>
      </c>
      <c r="F151" s="31">
        <v>0.9</v>
      </c>
      <c r="G151" s="31">
        <v>1.75</v>
      </c>
      <c r="H151" s="9"/>
      <c r="I151" s="35">
        <v>2.96</v>
      </c>
      <c r="J151" s="33">
        <v>2.6</v>
      </c>
      <c r="K151" s="33">
        <v>3</v>
      </c>
      <c r="M151" s="24"/>
      <c r="O151" s="25"/>
    </row>
    <row r="152" spans="1:15" x14ac:dyDescent="0.25">
      <c r="A152" s="29">
        <v>1015515</v>
      </c>
      <c r="B152" s="29">
        <v>3</v>
      </c>
      <c r="C152" s="29">
        <v>316</v>
      </c>
      <c r="D152" s="8"/>
      <c r="E152" s="34">
        <v>1.51</v>
      </c>
      <c r="F152" s="31">
        <v>0.9</v>
      </c>
      <c r="G152" s="31">
        <v>1.75</v>
      </c>
      <c r="H152" s="9"/>
      <c r="I152" s="35">
        <v>2.96</v>
      </c>
      <c r="J152" s="33">
        <v>2.6</v>
      </c>
      <c r="K152" s="33">
        <v>3</v>
      </c>
      <c r="M152" s="24"/>
      <c r="O152" s="25"/>
    </row>
    <row r="153" spans="1:15" x14ac:dyDescent="0.25">
      <c r="A153" s="29">
        <v>1015515</v>
      </c>
      <c r="B153" s="29">
        <v>3</v>
      </c>
      <c r="C153" s="29">
        <v>316</v>
      </c>
      <c r="D153" s="8"/>
      <c r="E153" s="34">
        <v>2</v>
      </c>
      <c r="F153" s="31">
        <v>0.9</v>
      </c>
      <c r="G153" s="31">
        <v>1.75</v>
      </c>
      <c r="H153" s="9"/>
      <c r="I153" s="35">
        <v>3</v>
      </c>
      <c r="J153" s="33">
        <v>2.6</v>
      </c>
      <c r="K153" s="33">
        <v>3</v>
      </c>
      <c r="M153" s="24"/>
      <c r="O153" s="25"/>
    </row>
    <row r="154" spans="1:15" x14ac:dyDescent="0.25">
      <c r="A154" s="29">
        <v>1015515</v>
      </c>
      <c r="B154" s="29">
        <v>3</v>
      </c>
      <c r="C154" s="29">
        <v>316</v>
      </c>
      <c r="D154" s="8"/>
      <c r="E154" s="34">
        <v>2</v>
      </c>
      <c r="F154" s="31">
        <v>0.9</v>
      </c>
      <c r="G154" s="31">
        <v>1.75</v>
      </c>
      <c r="H154" s="9"/>
      <c r="I154" s="35">
        <v>3</v>
      </c>
      <c r="J154" s="33">
        <v>2.6</v>
      </c>
      <c r="K154" s="33">
        <v>3</v>
      </c>
      <c r="M154" s="24"/>
      <c r="O154" s="25"/>
    </row>
    <row r="155" spans="1:15" x14ac:dyDescent="0.25">
      <c r="A155" s="29">
        <v>1015515</v>
      </c>
      <c r="B155" s="29">
        <v>3</v>
      </c>
      <c r="C155" s="29">
        <v>316</v>
      </c>
      <c r="D155" s="8"/>
      <c r="E155" s="34">
        <v>2</v>
      </c>
      <c r="F155" s="31">
        <v>0.9</v>
      </c>
      <c r="G155" s="31">
        <v>1.75</v>
      </c>
      <c r="H155" s="9"/>
      <c r="I155" s="35">
        <v>3</v>
      </c>
      <c r="J155" s="33">
        <v>2.6</v>
      </c>
      <c r="K155" s="33">
        <v>3</v>
      </c>
      <c r="M155" s="24"/>
      <c r="O155" s="25"/>
    </row>
    <row r="156" spans="1:15" x14ac:dyDescent="0.25">
      <c r="A156" s="29">
        <v>1015515</v>
      </c>
      <c r="B156" s="29">
        <v>3</v>
      </c>
      <c r="C156" s="29">
        <v>316</v>
      </c>
      <c r="D156" s="8"/>
      <c r="E156" s="34">
        <v>2</v>
      </c>
      <c r="F156" s="31">
        <v>0.9</v>
      </c>
      <c r="G156" s="31">
        <v>1.75</v>
      </c>
      <c r="H156" s="9"/>
      <c r="I156" s="35">
        <v>3</v>
      </c>
      <c r="J156" s="33">
        <v>2.6</v>
      </c>
      <c r="K156" s="33">
        <v>3</v>
      </c>
      <c r="M156" s="24"/>
      <c r="O156" s="25"/>
    </row>
    <row r="157" spans="1:15" x14ac:dyDescent="0.25">
      <c r="A157" s="29">
        <v>1020786</v>
      </c>
      <c r="B157" s="29">
        <v>4</v>
      </c>
      <c r="C157" s="29">
        <v>270</v>
      </c>
      <c r="D157" s="8"/>
      <c r="E157" s="34">
        <v>2.94</v>
      </c>
      <c r="F157" s="31">
        <v>2.1</v>
      </c>
      <c r="G157" s="31">
        <v>2.8</v>
      </c>
      <c r="H157" s="9"/>
      <c r="I157" s="35">
        <v>3.37</v>
      </c>
      <c r="J157" s="33">
        <v>3.6</v>
      </c>
      <c r="K157" s="33">
        <v>4</v>
      </c>
      <c r="M157" s="24"/>
      <c r="O157" s="25"/>
    </row>
    <row r="158" spans="1:15" x14ac:dyDescent="0.25">
      <c r="A158" s="29">
        <v>1020786</v>
      </c>
      <c r="B158" s="29">
        <v>4</v>
      </c>
      <c r="C158" s="29">
        <v>270</v>
      </c>
      <c r="D158" s="8"/>
      <c r="E158" s="34">
        <v>2.95</v>
      </c>
      <c r="F158" s="31">
        <v>2.1</v>
      </c>
      <c r="G158" s="31">
        <v>2.8</v>
      </c>
      <c r="H158" s="9"/>
      <c r="I158" s="35">
        <v>3.38</v>
      </c>
      <c r="J158" s="33">
        <v>3.6</v>
      </c>
      <c r="K158" s="33">
        <v>4</v>
      </c>
      <c r="M158" s="24"/>
      <c r="O158" s="25"/>
    </row>
    <row r="159" spans="1:15" x14ac:dyDescent="0.25">
      <c r="A159" s="29">
        <v>1020786</v>
      </c>
      <c r="B159" s="29">
        <v>4</v>
      </c>
      <c r="C159" s="29">
        <v>270</v>
      </c>
      <c r="D159" s="8"/>
      <c r="E159" s="34">
        <v>2.95</v>
      </c>
      <c r="F159" s="31">
        <v>2.1</v>
      </c>
      <c r="G159" s="31">
        <v>2.8</v>
      </c>
      <c r="H159" s="9"/>
      <c r="I159" s="35">
        <v>3.38</v>
      </c>
      <c r="J159" s="33">
        <v>3.6</v>
      </c>
      <c r="K159" s="33">
        <v>4</v>
      </c>
      <c r="M159" s="24"/>
      <c r="O159" s="25"/>
    </row>
    <row r="160" spans="1:15" x14ac:dyDescent="0.25">
      <c r="A160" s="29">
        <v>1015528</v>
      </c>
      <c r="B160" s="29">
        <v>4</v>
      </c>
      <c r="C160" s="29">
        <v>250</v>
      </c>
      <c r="D160" s="8"/>
      <c r="E160" s="34">
        <v>2.2400000000000002</v>
      </c>
      <c r="F160" s="31">
        <v>2.1</v>
      </c>
      <c r="G160" s="31">
        <v>2.8</v>
      </c>
      <c r="H160" s="9"/>
      <c r="I160" s="35">
        <v>3.79</v>
      </c>
      <c r="J160" s="33">
        <v>3.6</v>
      </c>
      <c r="K160" s="33">
        <v>4</v>
      </c>
      <c r="M160" s="24"/>
      <c r="O160" s="25"/>
    </row>
    <row r="161" spans="1:15" x14ac:dyDescent="0.25">
      <c r="A161" s="29">
        <v>1015528</v>
      </c>
      <c r="B161" s="29">
        <v>4</v>
      </c>
      <c r="C161" s="29">
        <v>250</v>
      </c>
      <c r="D161" s="8"/>
      <c r="E161" s="34">
        <v>2.2400000000000002</v>
      </c>
      <c r="F161" s="31">
        <v>2.1</v>
      </c>
      <c r="G161" s="31">
        <v>2.8</v>
      </c>
      <c r="H161" s="9"/>
      <c r="I161" s="35">
        <v>3.79</v>
      </c>
      <c r="J161" s="33">
        <v>3.6</v>
      </c>
      <c r="K161" s="33">
        <v>4</v>
      </c>
      <c r="M161" s="24"/>
      <c r="O161" s="25"/>
    </row>
    <row r="162" spans="1:15" x14ac:dyDescent="0.25">
      <c r="A162" s="29">
        <v>1015528</v>
      </c>
      <c r="B162" s="29">
        <v>4</v>
      </c>
      <c r="C162" s="29">
        <v>250</v>
      </c>
      <c r="D162" s="8"/>
      <c r="E162" s="34">
        <v>2.2400000000000002</v>
      </c>
      <c r="F162" s="31">
        <v>2.1</v>
      </c>
      <c r="G162" s="31">
        <v>2.8</v>
      </c>
      <c r="H162" s="9"/>
      <c r="I162" s="35">
        <v>3.79</v>
      </c>
      <c r="J162" s="33">
        <v>3.6</v>
      </c>
      <c r="K162" s="33">
        <v>4</v>
      </c>
      <c r="M162" s="24"/>
      <c r="O162" s="25"/>
    </row>
    <row r="163" spans="1:15" x14ac:dyDescent="0.25">
      <c r="A163" s="29">
        <v>1004011</v>
      </c>
      <c r="B163" s="29">
        <v>4</v>
      </c>
      <c r="C163" s="29">
        <v>200</v>
      </c>
      <c r="D163" s="8"/>
      <c r="E163" s="34">
        <v>3.5</v>
      </c>
      <c r="F163" s="31">
        <v>2.1</v>
      </c>
      <c r="G163" s="31">
        <v>2.8</v>
      </c>
      <c r="H163" s="9"/>
      <c r="I163" s="35">
        <v>3.81</v>
      </c>
      <c r="J163" s="33">
        <v>3.6</v>
      </c>
      <c r="K163" s="33">
        <v>4</v>
      </c>
      <c r="M163" s="24"/>
      <c r="O163" s="25"/>
    </row>
    <row r="164" spans="1:15" x14ac:dyDescent="0.25">
      <c r="A164" s="29">
        <v>1004011</v>
      </c>
      <c r="B164" s="29">
        <v>4</v>
      </c>
      <c r="C164" s="29">
        <v>200</v>
      </c>
      <c r="D164" s="8"/>
      <c r="E164" s="34">
        <v>3.5</v>
      </c>
      <c r="F164" s="31">
        <v>2.1</v>
      </c>
      <c r="G164" s="31">
        <v>2.8</v>
      </c>
      <c r="H164" s="9"/>
      <c r="I164" s="35">
        <v>3.81</v>
      </c>
      <c r="J164" s="33">
        <v>3.6</v>
      </c>
      <c r="K164" s="33">
        <v>4</v>
      </c>
      <c r="M164" s="24"/>
      <c r="O164" s="25"/>
    </row>
    <row r="165" spans="1:15" x14ac:dyDescent="0.25">
      <c r="A165" s="29">
        <v>1004011</v>
      </c>
      <c r="B165" s="29">
        <v>4</v>
      </c>
      <c r="C165" s="29">
        <v>200</v>
      </c>
      <c r="D165" s="8"/>
      <c r="E165" s="34">
        <v>3.5</v>
      </c>
      <c r="F165" s="31">
        <v>2.1</v>
      </c>
      <c r="G165" s="31">
        <v>2.8</v>
      </c>
      <c r="H165" s="9"/>
      <c r="I165" s="35">
        <v>3.81</v>
      </c>
      <c r="J165" s="33">
        <v>3.6</v>
      </c>
      <c r="K165" s="33">
        <v>4</v>
      </c>
      <c r="M165" s="24"/>
      <c r="O165" s="25"/>
    </row>
    <row r="166" spans="1:15" x14ac:dyDescent="0.25">
      <c r="A166" s="29">
        <v>1004011</v>
      </c>
      <c r="B166" s="29">
        <v>4</v>
      </c>
      <c r="C166" s="29">
        <v>200</v>
      </c>
      <c r="D166" s="8"/>
      <c r="E166" s="34">
        <v>3.5</v>
      </c>
      <c r="F166" s="31">
        <v>2.1</v>
      </c>
      <c r="G166" s="31">
        <v>2.8</v>
      </c>
      <c r="H166" s="9"/>
      <c r="I166" s="35">
        <v>3.81</v>
      </c>
      <c r="J166" s="33">
        <v>3.6</v>
      </c>
      <c r="K166" s="33">
        <v>4</v>
      </c>
      <c r="M166" s="24"/>
      <c r="O166" s="25"/>
    </row>
    <row r="167" spans="1:15" x14ac:dyDescent="0.25">
      <c r="A167" s="29">
        <v>1004011</v>
      </c>
      <c r="B167" s="29">
        <v>4</v>
      </c>
      <c r="C167" s="29">
        <v>200</v>
      </c>
      <c r="D167" s="8"/>
      <c r="E167" s="34">
        <v>3.5</v>
      </c>
      <c r="F167" s="31">
        <v>2.1</v>
      </c>
      <c r="G167" s="31">
        <v>2.8</v>
      </c>
      <c r="H167" s="9"/>
      <c r="I167" s="35">
        <v>3.81</v>
      </c>
      <c r="J167" s="33">
        <v>3.6</v>
      </c>
      <c r="K167" s="33">
        <v>4</v>
      </c>
      <c r="M167" s="24"/>
      <c r="O167" s="25"/>
    </row>
    <row r="168" spans="1:15" x14ac:dyDescent="0.25">
      <c r="A168" s="29">
        <v>1004011</v>
      </c>
      <c r="B168" s="29">
        <v>4</v>
      </c>
      <c r="C168" s="29">
        <v>200</v>
      </c>
      <c r="D168" s="8"/>
      <c r="E168" s="34">
        <v>3.5</v>
      </c>
      <c r="F168" s="31">
        <v>2.1</v>
      </c>
      <c r="G168" s="31">
        <v>2.8</v>
      </c>
      <c r="H168" s="9"/>
      <c r="I168" s="35">
        <v>3.81</v>
      </c>
      <c r="J168" s="33">
        <v>3.6</v>
      </c>
      <c r="K168" s="33">
        <v>4</v>
      </c>
      <c r="M168" s="24"/>
      <c r="O168" s="25"/>
    </row>
    <row r="169" spans="1:15" x14ac:dyDescent="0.25">
      <c r="A169" s="29">
        <v>1004011</v>
      </c>
      <c r="B169" s="29">
        <v>4</v>
      </c>
      <c r="C169" s="29">
        <v>200</v>
      </c>
      <c r="D169" s="8"/>
      <c r="E169" s="34">
        <v>3.5</v>
      </c>
      <c r="F169" s="31">
        <v>2.1</v>
      </c>
      <c r="G169" s="31">
        <v>2.8</v>
      </c>
      <c r="H169" s="9"/>
      <c r="I169" s="35">
        <v>3.81</v>
      </c>
      <c r="J169" s="33">
        <v>3.6</v>
      </c>
      <c r="K169" s="33">
        <v>4</v>
      </c>
      <c r="M169" s="24"/>
      <c r="O169" s="25"/>
    </row>
    <row r="170" spans="1:15" x14ac:dyDescent="0.25">
      <c r="A170" s="29">
        <v>1004011</v>
      </c>
      <c r="B170" s="29">
        <v>4</v>
      </c>
      <c r="C170" s="29">
        <v>200</v>
      </c>
      <c r="D170" s="8"/>
      <c r="E170" s="34">
        <v>3.5</v>
      </c>
      <c r="F170" s="31">
        <v>2.1</v>
      </c>
      <c r="G170" s="31">
        <v>2.8</v>
      </c>
      <c r="H170" s="9"/>
      <c r="I170" s="35">
        <v>3.81</v>
      </c>
      <c r="J170" s="33">
        <v>3.6</v>
      </c>
      <c r="K170" s="33">
        <v>4</v>
      </c>
      <c r="M170" s="24"/>
      <c r="O170" s="25"/>
    </row>
    <row r="171" spans="1:15" x14ac:dyDescent="0.25">
      <c r="A171" s="29">
        <v>1004011</v>
      </c>
      <c r="B171" s="29">
        <v>4</v>
      </c>
      <c r="C171" s="29">
        <v>200</v>
      </c>
      <c r="D171" s="8"/>
      <c r="E171" s="34">
        <v>3.5</v>
      </c>
      <c r="F171" s="31">
        <v>2.1</v>
      </c>
      <c r="G171" s="31">
        <v>2.8</v>
      </c>
      <c r="H171" s="9"/>
      <c r="I171" s="35">
        <v>3.81</v>
      </c>
      <c r="J171" s="33">
        <v>3.6</v>
      </c>
      <c r="K171" s="33">
        <v>4</v>
      </c>
      <c r="M171" s="24"/>
      <c r="O171" s="25"/>
    </row>
    <row r="172" spans="1:15" x14ac:dyDescent="0.25">
      <c r="A172" s="29">
        <v>1004011</v>
      </c>
      <c r="B172" s="29">
        <v>4</v>
      </c>
      <c r="C172" s="29">
        <v>200</v>
      </c>
      <c r="D172" s="8"/>
      <c r="E172" s="34">
        <v>3.5</v>
      </c>
      <c r="F172" s="31">
        <v>2.1</v>
      </c>
      <c r="G172" s="31">
        <v>2.8</v>
      </c>
      <c r="H172" s="9"/>
      <c r="I172" s="35">
        <v>3.81</v>
      </c>
      <c r="J172" s="33">
        <v>3.6</v>
      </c>
      <c r="K172" s="33">
        <v>4</v>
      </c>
      <c r="M172" s="24"/>
      <c r="O172" s="25"/>
    </row>
    <row r="173" spans="1:15" x14ac:dyDescent="0.25">
      <c r="A173" s="29">
        <v>1004011</v>
      </c>
      <c r="B173" s="29">
        <v>4</v>
      </c>
      <c r="C173" s="29">
        <v>200</v>
      </c>
      <c r="D173" s="8"/>
      <c r="E173" s="34">
        <v>3.5</v>
      </c>
      <c r="F173" s="31">
        <v>2.1</v>
      </c>
      <c r="G173" s="31">
        <v>2.8</v>
      </c>
      <c r="H173" s="9"/>
      <c r="I173" s="35">
        <v>3.81</v>
      </c>
      <c r="J173" s="33">
        <v>3.6</v>
      </c>
      <c r="K173" s="33">
        <v>4</v>
      </c>
      <c r="M173" s="24"/>
      <c r="O173" s="25"/>
    </row>
    <row r="174" spans="1:15" x14ac:dyDescent="0.25">
      <c r="A174" s="29">
        <v>1004011</v>
      </c>
      <c r="B174" s="29">
        <v>4</v>
      </c>
      <c r="C174" s="29">
        <v>200</v>
      </c>
      <c r="D174" s="8"/>
      <c r="E174" s="34">
        <v>3.5</v>
      </c>
      <c r="F174" s="31">
        <v>2.1</v>
      </c>
      <c r="G174" s="31">
        <v>2.8</v>
      </c>
      <c r="H174" s="9"/>
      <c r="I174" s="35">
        <v>3.81</v>
      </c>
      <c r="J174" s="33">
        <v>3.6</v>
      </c>
      <c r="K174" s="33">
        <v>4</v>
      </c>
      <c r="M174" s="24"/>
      <c r="O174" s="25"/>
    </row>
    <row r="175" spans="1:15" x14ac:dyDescent="0.25">
      <c r="A175" s="29">
        <v>1004011</v>
      </c>
      <c r="B175" s="29">
        <v>4</v>
      </c>
      <c r="C175" s="29">
        <v>200</v>
      </c>
      <c r="D175" s="8"/>
      <c r="E175" s="34">
        <v>3.5</v>
      </c>
      <c r="F175" s="31">
        <v>2.1</v>
      </c>
      <c r="G175" s="31">
        <v>2.8</v>
      </c>
      <c r="H175" s="9"/>
      <c r="I175" s="35">
        <v>3.81</v>
      </c>
      <c r="J175" s="33">
        <v>3.6</v>
      </c>
      <c r="K175" s="33">
        <v>4</v>
      </c>
      <c r="M175" s="24"/>
      <c r="O175" s="25"/>
    </row>
    <row r="176" spans="1:15" x14ac:dyDescent="0.25">
      <c r="A176" s="29">
        <v>1020786</v>
      </c>
      <c r="B176" s="29">
        <v>4</v>
      </c>
      <c r="C176" s="29">
        <v>270</v>
      </c>
      <c r="D176" s="8"/>
      <c r="E176" s="34">
        <v>2.96</v>
      </c>
      <c r="F176" s="31">
        <v>2.1</v>
      </c>
      <c r="G176" s="31">
        <v>2.8</v>
      </c>
      <c r="H176" s="9"/>
      <c r="I176" s="35">
        <v>3.39</v>
      </c>
      <c r="J176" s="33">
        <v>3.6</v>
      </c>
      <c r="K176" s="33">
        <v>4</v>
      </c>
      <c r="M176" s="24"/>
      <c r="O176" s="25"/>
    </row>
    <row r="177" spans="1:15" x14ac:dyDescent="0.25">
      <c r="A177" s="29">
        <v>1020786</v>
      </c>
      <c r="B177" s="29">
        <v>4</v>
      </c>
      <c r="C177" s="29">
        <v>270</v>
      </c>
      <c r="D177" s="8"/>
      <c r="E177" s="34">
        <v>2.96</v>
      </c>
      <c r="F177" s="31">
        <v>2.1</v>
      </c>
      <c r="G177" s="31">
        <v>2.8</v>
      </c>
      <c r="H177" s="9"/>
      <c r="I177" s="35">
        <v>3.39</v>
      </c>
      <c r="J177" s="33">
        <v>3.6</v>
      </c>
      <c r="K177" s="33">
        <v>4</v>
      </c>
      <c r="M177" s="24"/>
      <c r="O177" s="25"/>
    </row>
    <row r="178" spans="1:15" x14ac:dyDescent="0.25">
      <c r="A178" s="29">
        <v>1020786</v>
      </c>
      <c r="B178" s="29">
        <v>4</v>
      </c>
      <c r="C178" s="29">
        <v>270</v>
      </c>
      <c r="D178" s="8"/>
      <c r="E178" s="34">
        <v>2.96</v>
      </c>
      <c r="F178" s="31">
        <v>2.1</v>
      </c>
      <c r="G178" s="31">
        <v>2.8</v>
      </c>
      <c r="H178" s="9"/>
      <c r="I178" s="35">
        <v>3.39</v>
      </c>
      <c r="J178" s="33">
        <v>3.6</v>
      </c>
      <c r="K178" s="33">
        <v>4</v>
      </c>
      <c r="M178" s="24"/>
      <c r="O178" s="25"/>
    </row>
    <row r="179" spans="1:15" x14ac:dyDescent="0.25">
      <c r="A179" s="29">
        <v>1015528</v>
      </c>
      <c r="B179" s="29">
        <v>4</v>
      </c>
      <c r="C179" s="29">
        <v>250</v>
      </c>
      <c r="D179" s="8"/>
      <c r="E179" s="34">
        <v>2.25</v>
      </c>
      <c r="F179" s="31">
        <v>2.1</v>
      </c>
      <c r="G179" s="31">
        <v>2.8</v>
      </c>
      <c r="H179" s="9"/>
      <c r="I179" s="35">
        <v>3.8</v>
      </c>
      <c r="J179" s="33">
        <v>3.6</v>
      </c>
      <c r="K179" s="33">
        <v>4</v>
      </c>
      <c r="M179" s="24"/>
      <c r="O179" s="25"/>
    </row>
    <row r="180" spans="1:15" x14ac:dyDescent="0.25">
      <c r="A180" s="29">
        <v>1015528</v>
      </c>
      <c r="B180" s="29">
        <v>4</v>
      </c>
      <c r="C180" s="29">
        <v>250</v>
      </c>
      <c r="D180" s="8"/>
      <c r="E180" s="34">
        <v>2.25</v>
      </c>
      <c r="F180" s="31">
        <v>2.1</v>
      </c>
      <c r="G180" s="31">
        <v>2.8</v>
      </c>
      <c r="H180" s="9"/>
      <c r="I180" s="35">
        <v>3.8</v>
      </c>
      <c r="J180" s="33">
        <v>3.6</v>
      </c>
      <c r="K180" s="33">
        <v>4</v>
      </c>
      <c r="M180" s="24"/>
      <c r="O180" s="25"/>
    </row>
    <row r="181" spans="1:15" x14ac:dyDescent="0.25">
      <c r="A181" s="29">
        <v>1015528</v>
      </c>
      <c r="B181" s="29">
        <v>4</v>
      </c>
      <c r="C181" s="29">
        <v>250</v>
      </c>
      <c r="D181" s="8"/>
      <c r="E181" s="34">
        <v>2.25</v>
      </c>
      <c r="F181" s="31">
        <v>2.1</v>
      </c>
      <c r="G181" s="31">
        <v>2.8</v>
      </c>
      <c r="H181" s="9"/>
      <c r="I181" s="35">
        <v>3.8</v>
      </c>
      <c r="J181" s="33">
        <v>3.6</v>
      </c>
      <c r="K181" s="33">
        <v>4</v>
      </c>
      <c r="M181" s="24"/>
      <c r="O181" s="25"/>
    </row>
    <row r="182" spans="1:15" x14ac:dyDescent="0.25">
      <c r="A182" s="29">
        <v>1020786</v>
      </c>
      <c r="B182" s="29">
        <v>4</v>
      </c>
      <c r="C182" s="29">
        <v>270</v>
      </c>
      <c r="D182" s="8"/>
      <c r="E182" s="34">
        <v>2.95</v>
      </c>
      <c r="F182" s="31">
        <v>2.1</v>
      </c>
      <c r="G182" s="31">
        <v>2.8</v>
      </c>
      <c r="H182" s="9"/>
      <c r="I182" s="35">
        <v>3.37</v>
      </c>
      <c r="J182" s="33">
        <v>3.6</v>
      </c>
      <c r="K182" s="33">
        <v>4</v>
      </c>
      <c r="M182" s="24"/>
      <c r="O182" s="25"/>
    </row>
    <row r="183" spans="1:15" x14ac:dyDescent="0.25">
      <c r="A183" s="29">
        <v>1020786</v>
      </c>
      <c r="B183" s="29">
        <v>4</v>
      </c>
      <c r="C183" s="29">
        <v>270</v>
      </c>
      <c r="D183" s="8"/>
      <c r="E183" s="34">
        <v>2.95</v>
      </c>
      <c r="F183" s="31">
        <v>2.1</v>
      </c>
      <c r="G183" s="31">
        <v>2.8</v>
      </c>
      <c r="H183" s="9"/>
      <c r="I183" s="35">
        <v>3.37</v>
      </c>
      <c r="J183" s="33">
        <v>3.6</v>
      </c>
      <c r="K183" s="33">
        <v>4</v>
      </c>
      <c r="M183" s="24"/>
      <c r="O183" s="25"/>
    </row>
    <row r="184" spans="1:15" x14ac:dyDescent="0.25">
      <c r="A184" s="29">
        <v>1020786</v>
      </c>
      <c r="B184" s="29">
        <v>4</v>
      </c>
      <c r="C184" s="29">
        <v>270</v>
      </c>
      <c r="D184" s="8"/>
      <c r="E184" s="34">
        <v>2.95</v>
      </c>
      <c r="F184" s="31">
        <v>2.1</v>
      </c>
      <c r="G184" s="31">
        <v>2.8</v>
      </c>
      <c r="H184" s="9"/>
      <c r="I184" s="35">
        <v>3.37</v>
      </c>
      <c r="J184" s="33">
        <v>3.6</v>
      </c>
      <c r="K184" s="33">
        <v>4</v>
      </c>
      <c r="M184" s="24"/>
      <c r="O184" s="25"/>
    </row>
  </sheetData>
  <sortState ref="A4:O185">
    <sortCondition ref="B4:B185"/>
  </sortState>
  <mergeCells count="4">
    <mergeCell ref="F2:G2"/>
    <mergeCell ref="J2:K2"/>
    <mergeCell ref="H1:K1"/>
    <mergeCell ref="D1:G1"/>
  </mergeCells>
  <pageMargins left="0.7" right="0.7" top="0.75" bottom="0.75" header="0.3" footer="0.3"/>
  <pageSetup paperSize="9" scale="9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čidlo1_Kliknúť">
                <anchor moveWithCells="1">
                  <from>
                    <xdr:col>15</xdr:col>
                    <xdr:colOff>438150</xdr:colOff>
                    <xdr:row>3</xdr:row>
                    <xdr:rowOff>0</xdr:rowOff>
                  </from>
                  <to>
                    <xdr:col>18</xdr:col>
                    <xdr:colOff>504825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lačidlo2_Kliknúť">
                <anchor moveWithCells="1">
                  <from>
                    <xdr:col>15</xdr:col>
                    <xdr:colOff>457200</xdr:colOff>
                    <xdr:row>4</xdr:row>
                    <xdr:rowOff>171450</xdr:rowOff>
                  </from>
                  <to>
                    <xdr:col>18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"/>
  <dimension ref="A1:AM184"/>
  <sheetViews>
    <sheetView workbookViewId="0">
      <selection activeCell="I36" sqref="I36"/>
    </sheetView>
  </sheetViews>
  <sheetFormatPr defaultRowHeight="15" x14ac:dyDescent="0.25"/>
  <cols>
    <col min="1" max="1" width="26.140625" style="3" customWidth="1"/>
    <col min="2" max="2" width="16.5703125" style="3" customWidth="1"/>
    <col min="3" max="3" width="13.85546875" style="3" customWidth="1"/>
    <col min="4" max="4" width="12.5703125" style="10" customWidth="1"/>
    <col min="5" max="5" width="12.5703125" style="30" customWidth="1"/>
    <col min="6" max="6" width="9.42578125" style="18" customWidth="1"/>
    <col min="7" max="7" width="10.5703125" style="18" customWidth="1"/>
    <col min="8" max="8" width="12.5703125" style="11" customWidth="1"/>
    <col min="9" max="9" width="12.5703125" style="32" customWidth="1"/>
    <col min="10" max="10" width="10.28515625" style="21" customWidth="1"/>
    <col min="11" max="11" width="10.42578125" style="21" customWidth="1"/>
    <col min="12" max="12" width="9.140625" style="3"/>
    <col min="13" max="13" width="16" style="22" customWidth="1"/>
    <col min="14" max="14" width="9.140625" style="3"/>
    <col min="15" max="15" width="16.7109375" style="23" customWidth="1"/>
    <col min="16" max="16384" width="9.140625" style="3"/>
  </cols>
  <sheetData>
    <row r="1" spans="1:39" ht="22.5" customHeight="1" x14ac:dyDescent="0.3">
      <c r="A1" s="2" t="s">
        <v>12</v>
      </c>
      <c r="B1" s="2" t="s">
        <v>9</v>
      </c>
      <c r="C1" s="2" t="s">
        <v>8</v>
      </c>
      <c r="D1" s="87" t="s">
        <v>6</v>
      </c>
      <c r="E1" s="87"/>
      <c r="F1" s="87"/>
      <c r="G1" s="87"/>
      <c r="H1" s="84" t="s">
        <v>7</v>
      </c>
      <c r="I1" s="85"/>
      <c r="J1" s="85"/>
      <c r="K1" s="86"/>
      <c r="M1" s="26" t="s">
        <v>10</v>
      </c>
      <c r="O1" s="27" t="s">
        <v>11</v>
      </c>
    </row>
    <row r="2" spans="1:39" ht="22.5" customHeight="1" x14ac:dyDescent="0.3">
      <c r="A2" s="2"/>
      <c r="B2" s="4"/>
      <c r="C2" s="4"/>
      <c r="D2" s="5" t="s">
        <v>2</v>
      </c>
      <c r="E2" s="13" t="s">
        <v>0</v>
      </c>
      <c r="F2" s="81" t="s">
        <v>3</v>
      </c>
      <c r="G2" s="81"/>
      <c r="H2" s="6" t="s">
        <v>2</v>
      </c>
      <c r="I2" s="14" t="s">
        <v>1</v>
      </c>
      <c r="J2" s="82" t="s">
        <v>3</v>
      </c>
      <c r="K2" s="83"/>
      <c r="M2" s="24"/>
      <c r="N2"/>
      <c r="O2" s="25"/>
    </row>
    <row r="3" spans="1:39" ht="22.5" customHeight="1" x14ac:dyDescent="0.3">
      <c r="A3" s="2"/>
      <c r="B3" s="4"/>
      <c r="C3" s="4"/>
      <c r="D3" s="5"/>
      <c r="E3" s="13"/>
      <c r="F3" s="36" t="s">
        <v>4</v>
      </c>
      <c r="G3" s="36" t="s">
        <v>5</v>
      </c>
      <c r="H3" s="6"/>
      <c r="I3" s="14"/>
      <c r="J3" s="19" t="s">
        <v>4</v>
      </c>
      <c r="K3" s="19" t="s">
        <v>5</v>
      </c>
      <c r="M3" s="24"/>
      <c r="N3"/>
      <c r="O3" s="25"/>
    </row>
    <row r="4" spans="1:39" x14ac:dyDescent="0.25">
      <c r="A4" s="29">
        <v>1020874</v>
      </c>
      <c r="B4" s="29">
        <v>0.9</v>
      </c>
      <c r="C4" s="29">
        <v>550</v>
      </c>
      <c r="D4" s="8">
        <v>-1.1000000000000001</v>
      </c>
      <c r="E4" s="34">
        <v>-1.07</v>
      </c>
      <c r="F4" s="31">
        <v>-3</v>
      </c>
      <c r="G4" s="31">
        <v>-1.6</v>
      </c>
      <c r="H4" s="9">
        <v>0.9</v>
      </c>
      <c r="I4" s="35">
        <v>0.84</v>
      </c>
      <c r="J4" s="33">
        <v>0.4</v>
      </c>
      <c r="K4" s="33">
        <v>0.9</v>
      </c>
      <c r="M4" s="24"/>
      <c r="O4" s="25"/>
    </row>
    <row r="5" spans="1:39" x14ac:dyDescent="0.25">
      <c r="A5" s="29">
        <v>1020874</v>
      </c>
      <c r="B5" s="29">
        <v>0.9</v>
      </c>
      <c r="C5" s="29">
        <v>550</v>
      </c>
      <c r="D5" s="8">
        <v>-1.1000000000000001</v>
      </c>
      <c r="E5" s="34">
        <v>-1.07</v>
      </c>
      <c r="F5" s="31">
        <v>-3</v>
      </c>
      <c r="G5" s="31">
        <v>-1.6</v>
      </c>
      <c r="H5" s="9">
        <v>0.9</v>
      </c>
      <c r="I5" s="35">
        <v>0.84</v>
      </c>
      <c r="J5" s="33">
        <v>0.4</v>
      </c>
      <c r="K5" s="33">
        <v>0.9</v>
      </c>
      <c r="M5" s="24"/>
      <c r="O5" s="25"/>
    </row>
    <row r="6" spans="1:39" x14ac:dyDescent="0.25">
      <c r="A6" s="29">
        <v>1020830</v>
      </c>
      <c r="B6" s="29">
        <v>1</v>
      </c>
      <c r="C6" s="29">
        <v>855</v>
      </c>
      <c r="D6" s="8">
        <v>-1</v>
      </c>
      <c r="E6" s="34">
        <v>-0.99</v>
      </c>
      <c r="F6" s="31">
        <v>-2.9</v>
      </c>
      <c r="G6" s="31">
        <v>-1.5</v>
      </c>
      <c r="H6" s="9">
        <v>0.5</v>
      </c>
      <c r="I6" s="35">
        <v>0.49</v>
      </c>
      <c r="J6" s="33">
        <v>0.5</v>
      </c>
      <c r="K6" s="33">
        <v>1</v>
      </c>
      <c r="M6" s="24"/>
      <c r="O6" s="25"/>
    </row>
    <row r="7" spans="1:39" x14ac:dyDescent="0.25">
      <c r="A7" s="29">
        <v>1020705</v>
      </c>
      <c r="B7" s="29">
        <v>1</v>
      </c>
      <c r="C7" s="29">
        <v>537</v>
      </c>
      <c r="D7" s="8">
        <v>-0.25</v>
      </c>
      <c r="E7" s="34">
        <v>-0.24</v>
      </c>
      <c r="F7" s="31">
        <v>-2.9</v>
      </c>
      <c r="G7" s="31">
        <v>-1.5</v>
      </c>
      <c r="H7" s="9">
        <v>0.95</v>
      </c>
      <c r="I7" s="35">
        <v>0.94</v>
      </c>
      <c r="J7" s="33">
        <v>0.5</v>
      </c>
      <c r="K7" s="33">
        <v>1</v>
      </c>
      <c r="M7" s="24"/>
      <c r="O7" s="25"/>
    </row>
    <row r="8" spans="1:39" x14ac:dyDescent="0.25">
      <c r="A8" s="29">
        <v>1020817</v>
      </c>
      <c r="B8" s="29">
        <v>1.4</v>
      </c>
      <c r="C8" s="29">
        <v>815</v>
      </c>
      <c r="D8" s="8">
        <v>-1</v>
      </c>
      <c r="E8" s="34">
        <v>-0.99</v>
      </c>
      <c r="F8" s="31">
        <v>-2.2000000000000002</v>
      </c>
      <c r="G8" s="31">
        <v>-1</v>
      </c>
      <c r="H8" s="9">
        <v>1.5</v>
      </c>
      <c r="I8" s="35">
        <v>1.49</v>
      </c>
      <c r="J8" s="33">
        <v>0.9</v>
      </c>
      <c r="K8" s="33">
        <v>1.4</v>
      </c>
      <c r="M8" s="24"/>
      <c r="O8" s="25"/>
      <c r="AM8" s="37" t="s">
        <v>23</v>
      </c>
    </row>
    <row r="9" spans="1:39" x14ac:dyDescent="0.25">
      <c r="A9" s="29">
        <v>1020817</v>
      </c>
      <c r="B9" s="29">
        <v>1.4</v>
      </c>
      <c r="C9" s="29">
        <v>815</v>
      </c>
      <c r="D9" s="8">
        <v>-1</v>
      </c>
      <c r="E9" s="34">
        <v>-0.99</v>
      </c>
      <c r="F9" s="31">
        <v>-2.2000000000000002</v>
      </c>
      <c r="G9" s="31">
        <v>-1</v>
      </c>
      <c r="H9" s="9">
        <v>1.5</v>
      </c>
      <c r="I9" s="35">
        <v>1.49</v>
      </c>
      <c r="J9" s="33">
        <v>0.9</v>
      </c>
      <c r="K9" s="33">
        <v>1.4</v>
      </c>
      <c r="M9" s="24"/>
      <c r="O9" s="25"/>
    </row>
    <row r="10" spans="1:39" x14ac:dyDescent="0.25">
      <c r="A10" s="29">
        <v>1020817</v>
      </c>
      <c r="B10" s="29">
        <v>1.4</v>
      </c>
      <c r="C10" s="29">
        <v>815</v>
      </c>
      <c r="D10" s="8">
        <v>-1</v>
      </c>
      <c r="E10" s="34">
        <v>-0.99</v>
      </c>
      <c r="F10" s="31">
        <v>-2.2000000000000002</v>
      </c>
      <c r="G10" s="31">
        <v>-1</v>
      </c>
      <c r="H10" s="9">
        <v>1.5</v>
      </c>
      <c r="I10" s="35">
        <v>1.49</v>
      </c>
      <c r="J10" s="33">
        <v>0.9</v>
      </c>
      <c r="K10" s="33">
        <v>1.4</v>
      </c>
      <c r="M10" s="24"/>
      <c r="O10" s="25"/>
    </row>
    <row r="11" spans="1:39" x14ac:dyDescent="0.25">
      <c r="A11" s="29">
        <v>1020817</v>
      </c>
      <c r="B11" s="29">
        <v>1.4</v>
      </c>
      <c r="C11" s="29">
        <v>815</v>
      </c>
      <c r="D11" s="8">
        <v>-1</v>
      </c>
      <c r="E11" s="34">
        <v>-0.99</v>
      </c>
      <c r="F11" s="31">
        <v>-2.2000000000000002</v>
      </c>
      <c r="G11" s="31">
        <v>-1</v>
      </c>
      <c r="H11" s="9">
        <v>1.5</v>
      </c>
      <c r="I11" s="35">
        <v>1.49</v>
      </c>
      <c r="J11" s="33">
        <v>0.9</v>
      </c>
      <c r="K11" s="33">
        <v>1.4</v>
      </c>
      <c r="M11" s="24"/>
      <c r="O11" s="25"/>
    </row>
    <row r="12" spans="1:39" x14ac:dyDescent="0.25">
      <c r="A12" s="29">
        <v>1020817</v>
      </c>
      <c r="B12" s="29">
        <v>1.4</v>
      </c>
      <c r="C12" s="29">
        <v>815</v>
      </c>
      <c r="D12" s="8">
        <v>-1</v>
      </c>
      <c r="E12" s="34">
        <v>-0.99</v>
      </c>
      <c r="F12" s="31">
        <v>-2.2000000000000002</v>
      </c>
      <c r="G12" s="31">
        <v>-1</v>
      </c>
      <c r="H12" s="9">
        <v>1.5</v>
      </c>
      <c r="I12" s="35">
        <v>1.49</v>
      </c>
      <c r="J12" s="33">
        <v>0.9</v>
      </c>
      <c r="K12" s="33">
        <v>1.4</v>
      </c>
      <c r="M12" s="24"/>
      <c r="O12" s="25"/>
    </row>
    <row r="13" spans="1:39" x14ac:dyDescent="0.25">
      <c r="A13" s="29">
        <v>1020697</v>
      </c>
      <c r="B13" s="29">
        <v>2</v>
      </c>
      <c r="C13" s="29">
        <v>465</v>
      </c>
      <c r="D13" s="8">
        <v>-0.7</v>
      </c>
      <c r="E13" s="34">
        <v>-0.7</v>
      </c>
      <c r="F13" s="31">
        <v>-1.2</v>
      </c>
      <c r="G13" s="31">
        <v>0</v>
      </c>
      <c r="H13" s="9">
        <v>0.45</v>
      </c>
      <c r="I13" s="35">
        <v>0.45</v>
      </c>
      <c r="J13" s="33">
        <v>1.5</v>
      </c>
      <c r="K13" s="33">
        <v>2</v>
      </c>
      <c r="M13" s="24"/>
      <c r="O13" s="25"/>
    </row>
    <row r="14" spans="1:39" x14ac:dyDescent="0.25">
      <c r="A14" s="29">
        <v>1020697</v>
      </c>
      <c r="B14" s="29">
        <v>2</v>
      </c>
      <c r="C14" s="29">
        <v>465</v>
      </c>
      <c r="D14" s="8">
        <v>-0.7</v>
      </c>
      <c r="E14" s="34">
        <v>-1.03</v>
      </c>
      <c r="F14" s="31">
        <v>-1.2</v>
      </c>
      <c r="G14" s="31">
        <v>0</v>
      </c>
      <c r="H14" s="9">
        <v>0.45</v>
      </c>
      <c r="I14" s="35">
        <v>0.8</v>
      </c>
      <c r="J14" s="33">
        <v>1.5</v>
      </c>
      <c r="K14" s="33">
        <v>2</v>
      </c>
      <c r="M14" s="24"/>
      <c r="O14" s="25"/>
    </row>
    <row r="15" spans="1:39" x14ac:dyDescent="0.25">
      <c r="A15" s="29">
        <v>1020697</v>
      </c>
      <c r="B15" s="29">
        <v>2</v>
      </c>
      <c r="C15" s="29">
        <v>465</v>
      </c>
      <c r="D15" s="8">
        <v>-0.7</v>
      </c>
      <c r="E15" s="34">
        <v>-1.03</v>
      </c>
      <c r="F15" s="31">
        <v>-1.2</v>
      </c>
      <c r="G15" s="31">
        <v>0</v>
      </c>
      <c r="H15" s="9">
        <v>0.45</v>
      </c>
      <c r="I15" s="35">
        <v>0.8</v>
      </c>
      <c r="J15" s="33">
        <v>1.5</v>
      </c>
      <c r="K15" s="33">
        <v>2</v>
      </c>
      <c r="M15" s="24"/>
      <c r="O15" s="25"/>
    </row>
    <row r="16" spans="1:39" x14ac:dyDescent="0.25">
      <c r="A16" s="29">
        <v>1020697</v>
      </c>
      <c r="B16" s="29">
        <v>2</v>
      </c>
      <c r="C16" s="29">
        <v>465</v>
      </c>
      <c r="D16" s="8">
        <v>-0.7</v>
      </c>
      <c r="E16" s="34">
        <v>-1.03</v>
      </c>
      <c r="F16" s="31">
        <v>-1.2</v>
      </c>
      <c r="G16" s="31">
        <v>0</v>
      </c>
      <c r="H16" s="9">
        <v>0.45</v>
      </c>
      <c r="I16" s="35">
        <v>0.8</v>
      </c>
      <c r="J16" s="33">
        <v>1.5</v>
      </c>
      <c r="K16" s="33">
        <v>2</v>
      </c>
      <c r="M16" s="24"/>
      <c r="O16" s="25"/>
    </row>
    <row r="17" spans="1:15" x14ac:dyDescent="0.25">
      <c r="A17" s="29">
        <v>1020716</v>
      </c>
      <c r="B17" s="29">
        <v>2</v>
      </c>
      <c r="C17" s="29">
        <v>460</v>
      </c>
      <c r="D17" s="8">
        <v>-0.7</v>
      </c>
      <c r="E17" s="34">
        <v>-0.75</v>
      </c>
      <c r="F17" s="31">
        <v>-1.2</v>
      </c>
      <c r="G17" s="31">
        <v>0</v>
      </c>
      <c r="H17" s="9">
        <v>1.9</v>
      </c>
      <c r="I17" s="35">
        <v>1.74</v>
      </c>
      <c r="J17" s="33">
        <v>1.5</v>
      </c>
      <c r="K17" s="33">
        <v>2</v>
      </c>
      <c r="M17" s="24"/>
      <c r="O17" s="25"/>
    </row>
    <row r="18" spans="1:15" x14ac:dyDescent="0.25">
      <c r="A18" s="29">
        <v>1020716</v>
      </c>
      <c r="B18" s="29">
        <v>2</v>
      </c>
      <c r="C18" s="29">
        <v>460</v>
      </c>
      <c r="D18" s="8">
        <v>-0.7</v>
      </c>
      <c r="E18" s="34">
        <v>-0.75</v>
      </c>
      <c r="F18" s="31">
        <v>-1.2</v>
      </c>
      <c r="G18" s="31">
        <v>0</v>
      </c>
      <c r="H18" s="9">
        <v>1.9</v>
      </c>
      <c r="I18" s="35">
        <v>1.74</v>
      </c>
      <c r="J18" s="33">
        <v>1.5</v>
      </c>
      <c r="K18" s="33">
        <v>2</v>
      </c>
      <c r="M18" s="24"/>
      <c r="O18" s="25"/>
    </row>
    <row r="19" spans="1:15" x14ac:dyDescent="0.25">
      <c r="A19" s="29">
        <v>1020716</v>
      </c>
      <c r="B19" s="29">
        <v>2</v>
      </c>
      <c r="C19" s="29">
        <v>460</v>
      </c>
      <c r="D19" s="8">
        <v>-0.7</v>
      </c>
      <c r="E19" s="34">
        <v>-0.75</v>
      </c>
      <c r="F19" s="31">
        <v>-1.2</v>
      </c>
      <c r="G19" s="31">
        <v>0</v>
      </c>
      <c r="H19" s="9">
        <v>1.9</v>
      </c>
      <c r="I19" s="35">
        <v>1.74</v>
      </c>
      <c r="J19" s="33">
        <v>1.5</v>
      </c>
      <c r="K19" s="33">
        <v>2</v>
      </c>
      <c r="M19" s="24"/>
      <c r="O19" s="25"/>
    </row>
    <row r="20" spans="1:15" x14ac:dyDescent="0.25">
      <c r="A20" s="29">
        <v>1020716</v>
      </c>
      <c r="B20" s="29">
        <v>2</v>
      </c>
      <c r="C20" s="29">
        <v>460</v>
      </c>
      <c r="D20" s="8">
        <v>-0.7</v>
      </c>
      <c r="E20" s="34">
        <v>-0.75</v>
      </c>
      <c r="F20" s="31">
        <v>-1.2</v>
      </c>
      <c r="G20" s="31">
        <v>0</v>
      </c>
      <c r="H20" s="9">
        <v>1.9</v>
      </c>
      <c r="I20" s="35">
        <v>1.74</v>
      </c>
      <c r="J20" s="33">
        <v>1.5</v>
      </c>
      <c r="K20" s="33">
        <v>2</v>
      </c>
      <c r="M20" s="24"/>
      <c r="O20" s="25"/>
    </row>
    <row r="21" spans="1:15" x14ac:dyDescent="0.25">
      <c r="A21" s="29">
        <v>1020716</v>
      </c>
      <c r="B21" s="29">
        <v>2</v>
      </c>
      <c r="C21" s="29">
        <v>460</v>
      </c>
      <c r="D21" s="8">
        <v>-0.7</v>
      </c>
      <c r="E21" s="34">
        <v>-0.75</v>
      </c>
      <c r="F21" s="31">
        <v>-1.2</v>
      </c>
      <c r="G21" s="31">
        <v>0</v>
      </c>
      <c r="H21" s="9">
        <v>1.9</v>
      </c>
      <c r="I21" s="35">
        <v>1.74</v>
      </c>
      <c r="J21" s="33">
        <v>1.5</v>
      </c>
      <c r="K21" s="33">
        <v>2</v>
      </c>
      <c r="M21" s="24"/>
      <c r="O21" s="25"/>
    </row>
    <row r="22" spans="1:15" x14ac:dyDescent="0.25">
      <c r="A22" s="29">
        <v>1017078</v>
      </c>
      <c r="B22" s="29">
        <v>2</v>
      </c>
      <c r="C22" s="29">
        <v>1035</v>
      </c>
      <c r="D22" s="8">
        <v>1</v>
      </c>
      <c r="E22" s="34">
        <v>0.99</v>
      </c>
      <c r="F22" s="31">
        <v>-1.2</v>
      </c>
      <c r="G22" s="31">
        <v>0</v>
      </c>
      <c r="H22" s="9">
        <v>2.1</v>
      </c>
      <c r="I22" s="35">
        <v>2.1</v>
      </c>
      <c r="J22" s="33">
        <v>1.5</v>
      </c>
      <c r="K22" s="33">
        <v>2</v>
      </c>
      <c r="M22" s="24"/>
      <c r="O22" s="25"/>
    </row>
    <row r="23" spans="1:15" x14ac:dyDescent="0.25">
      <c r="A23" s="29">
        <v>1017078</v>
      </c>
      <c r="B23" s="29">
        <v>2</v>
      </c>
      <c r="C23" s="29">
        <v>1035</v>
      </c>
      <c r="D23" s="8">
        <v>1</v>
      </c>
      <c r="E23" s="34">
        <v>0.99</v>
      </c>
      <c r="F23" s="31">
        <v>-1.2</v>
      </c>
      <c r="G23" s="31">
        <v>0</v>
      </c>
      <c r="H23" s="9">
        <v>2.1</v>
      </c>
      <c r="I23" s="35">
        <v>2.1</v>
      </c>
      <c r="J23" s="33">
        <v>1.5</v>
      </c>
      <c r="K23" s="33">
        <v>2</v>
      </c>
      <c r="M23" s="24"/>
      <c r="O23" s="25"/>
    </row>
    <row r="24" spans="1:15" x14ac:dyDescent="0.25">
      <c r="A24" s="7">
        <v>1020834</v>
      </c>
      <c r="B24" s="7">
        <v>2</v>
      </c>
      <c r="C24" s="7">
        <v>485</v>
      </c>
      <c r="D24" s="8">
        <v>0</v>
      </c>
      <c r="E24" s="15">
        <v>0.01</v>
      </c>
      <c r="F24" s="31">
        <v>-1.2</v>
      </c>
      <c r="G24" s="31">
        <v>0</v>
      </c>
      <c r="H24" s="9">
        <v>1.5</v>
      </c>
      <c r="I24" s="16">
        <v>1.49</v>
      </c>
      <c r="J24" s="33">
        <v>1.5</v>
      </c>
      <c r="K24" s="33">
        <v>2</v>
      </c>
      <c r="M24" s="24"/>
      <c r="O24" s="25"/>
    </row>
    <row r="25" spans="1:15" x14ac:dyDescent="0.25">
      <c r="A25" s="29">
        <v>1020834</v>
      </c>
      <c r="B25" s="29">
        <v>2</v>
      </c>
      <c r="C25" s="29">
        <v>485</v>
      </c>
      <c r="D25" s="8">
        <v>0</v>
      </c>
      <c r="E25" s="34">
        <v>0.01</v>
      </c>
      <c r="F25" s="31">
        <v>-1.2</v>
      </c>
      <c r="G25" s="31">
        <v>0</v>
      </c>
      <c r="H25" s="9">
        <v>1.5</v>
      </c>
      <c r="I25" s="35">
        <v>1.49</v>
      </c>
      <c r="J25" s="33">
        <v>1.5</v>
      </c>
      <c r="K25" s="33">
        <v>2</v>
      </c>
      <c r="M25" s="24"/>
      <c r="O25" s="25"/>
    </row>
    <row r="26" spans="1:15" x14ac:dyDescent="0.25">
      <c r="A26" s="29">
        <v>1020697</v>
      </c>
      <c r="B26" s="29">
        <v>2</v>
      </c>
      <c r="C26" s="29">
        <v>465</v>
      </c>
      <c r="D26" s="8">
        <v>-0.7</v>
      </c>
      <c r="E26" s="34">
        <v>-0.7</v>
      </c>
      <c r="F26" s="31">
        <v>-1.2</v>
      </c>
      <c r="G26" s="31">
        <v>0</v>
      </c>
      <c r="H26" s="9">
        <v>0.45</v>
      </c>
      <c r="I26" s="35">
        <v>0.44</v>
      </c>
      <c r="J26" s="33">
        <v>1.5</v>
      </c>
      <c r="K26" s="33">
        <v>2</v>
      </c>
      <c r="M26" s="24"/>
      <c r="O26" s="25"/>
    </row>
    <row r="27" spans="1:15" x14ac:dyDescent="0.25">
      <c r="A27" s="29">
        <v>1020697</v>
      </c>
      <c r="B27" s="29">
        <v>2</v>
      </c>
      <c r="C27" s="29">
        <v>465</v>
      </c>
      <c r="D27" s="8">
        <v>-0.7</v>
      </c>
      <c r="E27" s="34">
        <v>-0.7</v>
      </c>
      <c r="F27" s="31">
        <v>-1.2</v>
      </c>
      <c r="G27" s="31">
        <v>0</v>
      </c>
      <c r="H27" s="9">
        <v>0.45</v>
      </c>
      <c r="I27" s="35">
        <v>0.44</v>
      </c>
      <c r="J27" s="33">
        <v>1.5</v>
      </c>
      <c r="K27" s="33">
        <v>2</v>
      </c>
      <c r="M27" s="24"/>
      <c r="O27" s="25"/>
    </row>
    <row r="28" spans="1:15" x14ac:dyDescent="0.25">
      <c r="A28" s="29">
        <v>1020697</v>
      </c>
      <c r="B28" s="29">
        <v>2</v>
      </c>
      <c r="C28" s="29">
        <v>465</v>
      </c>
      <c r="D28" s="8">
        <v>-0.7</v>
      </c>
      <c r="E28" s="34">
        <v>-0.69</v>
      </c>
      <c r="F28" s="31">
        <v>-1.2</v>
      </c>
      <c r="G28" s="31">
        <v>0</v>
      </c>
      <c r="H28" s="9">
        <v>0.45</v>
      </c>
      <c r="I28" s="35">
        <v>0.44</v>
      </c>
      <c r="J28" s="33">
        <v>1.5</v>
      </c>
      <c r="K28" s="33">
        <v>2</v>
      </c>
      <c r="M28" s="24"/>
      <c r="O28" s="25"/>
    </row>
    <row r="29" spans="1:15" x14ac:dyDescent="0.25">
      <c r="A29" s="29">
        <v>1020697</v>
      </c>
      <c r="B29" s="29">
        <v>2</v>
      </c>
      <c r="C29" s="29">
        <v>465</v>
      </c>
      <c r="D29" s="8">
        <v>-0.7</v>
      </c>
      <c r="E29" s="34">
        <v>-0.69</v>
      </c>
      <c r="F29" s="31">
        <v>-1.2</v>
      </c>
      <c r="G29" s="31">
        <v>0</v>
      </c>
      <c r="H29" s="9">
        <v>0.45</v>
      </c>
      <c r="I29" s="35">
        <v>0.44</v>
      </c>
      <c r="J29" s="33">
        <v>1.5</v>
      </c>
      <c r="K29" s="33">
        <v>2</v>
      </c>
      <c r="M29" s="24"/>
      <c r="O29" s="25"/>
    </row>
    <row r="30" spans="1:15" x14ac:dyDescent="0.25">
      <c r="A30" s="29">
        <v>1020697</v>
      </c>
      <c r="B30" s="29">
        <v>2</v>
      </c>
      <c r="C30" s="29">
        <v>465</v>
      </c>
      <c r="D30" s="8">
        <v>-0.7</v>
      </c>
      <c r="E30" s="34">
        <v>-0.7</v>
      </c>
      <c r="F30" s="31">
        <v>-1.2</v>
      </c>
      <c r="G30" s="31">
        <v>0</v>
      </c>
      <c r="H30" s="9">
        <v>0.45</v>
      </c>
      <c r="I30" s="35">
        <v>0.47</v>
      </c>
      <c r="J30" s="33">
        <v>1.5</v>
      </c>
      <c r="K30" s="33">
        <v>2</v>
      </c>
      <c r="M30" s="24"/>
      <c r="O30" s="25"/>
    </row>
    <row r="31" spans="1:15" x14ac:dyDescent="0.25">
      <c r="A31" s="29">
        <v>1015511</v>
      </c>
      <c r="B31" s="29">
        <v>3</v>
      </c>
      <c r="C31" s="29">
        <v>332</v>
      </c>
      <c r="D31" s="8">
        <v>-1.2</v>
      </c>
      <c r="E31" s="34">
        <v>1.18</v>
      </c>
      <c r="F31" s="31">
        <v>0.2</v>
      </c>
      <c r="G31" s="31">
        <v>1.3</v>
      </c>
      <c r="H31" s="9">
        <v>2.95</v>
      </c>
      <c r="I31" s="35">
        <v>2.95</v>
      </c>
      <c r="J31" s="33">
        <v>2.5</v>
      </c>
      <c r="K31" s="33">
        <v>3</v>
      </c>
      <c r="M31" s="24"/>
      <c r="O31" s="25"/>
    </row>
    <row r="32" spans="1:15" x14ac:dyDescent="0.25">
      <c r="A32" s="29">
        <v>1020786</v>
      </c>
      <c r="B32" s="29">
        <v>4</v>
      </c>
      <c r="C32" s="29">
        <v>270</v>
      </c>
      <c r="D32" s="8">
        <v>2.4</v>
      </c>
      <c r="E32" s="34">
        <v>2.39</v>
      </c>
      <c r="F32" s="31">
        <v>1.4</v>
      </c>
      <c r="G32" s="31">
        <v>2.2999999999999998</v>
      </c>
      <c r="H32" s="9">
        <v>3.5</v>
      </c>
      <c r="I32" s="35">
        <v>3.49</v>
      </c>
      <c r="J32" s="33">
        <v>3.5</v>
      </c>
      <c r="K32" s="33">
        <v>4</v>
      </c>
      <c r="M32" s="24"/>
      <c r="O32" s="25"/>
    </row>
    <row r="33" spans="1:15" x14ac:dyDescent="0.25">
      <c r="A33" s="29">
        <v>1020786</v>
      </c>
      <c r="B33" s="29">
        <v>4</v>
      </c>
      <c r="C33" s="29">
        <v>270</v>
      </c>
      <c r="D33" s="8">
        <v>2.4</v>
      </c>
      <c r="E33" s="34">
        <v>2.39</v>
      </c>
      <c r="F33" s="31">
        <v>1.4</v>
      </c>
      <c r="G33" s="31">
        <v>2.2999999999999998</v>
      </c>
      <c r="H33" s="9">
        <v>3.5</v>
      </c>
      <c r="I33" s="35">
        <v>3.49</v>
      </c>
      <c r="J33" s="33">
        <v>3.5</v>
      </c>
      <c r="K33" s="33">
        <v>4</v>
      </c>
      <c r="M33" s="24"/>
      <c r="O33" s="25"/>
    </row>
    <row r="34" spans="1:15" x14ac:dyDescent="0.25">
      <c r="A34" s="29">
        <v>1020786</v>
      </c>
      <c r="B34" s="29">
        <v>4</v>
      </c>
      <c r="C34" s="29">
        <v>270</v>
      </c>
      <c r="D34" s="8">
        <v>2.4</v>
      </c>
      <c r="E34" s="34">
        <v>2.39</v>
      </c>
      <c r="F34" s="31">
        <v>1.4</v>
      </c>
      <c r="G34" s="31">
        <v>2.2999999999999998</v>
      </c>
      <c r="H34" s="9">
        <v>3.5</v>
      </c>
      <c r="I34" s="35">
        <v>3.49</v>
      </c>
      <c r="J34" s="33">
        <v>3.5</v>
      </c>
      <c r="K34" s="33">
        <v>4</v>
      </c>
      <c r="M34" s="24"/>
      <c r="O34" s="25"/>
    </row>
    <row r="35" spans="1:15" x14ac:dyDescent="0.25">
      <c r="A35" s="29"/>
      <c r="B35" s="29"/>
      <c r="C35" s="29"/>
      <c r="D35" s="8"/>
      <c r="E35" s="34"/>
      <c r="F35" s="31"/>
      <c r="G35" s="31"/>
      <c r="H35" s="9"/>
      <c r="I35" s="35"/>
      <c r="J35" s="33"/>
      <c r="K35" s="33"/>
      <c r="M35" s="24"/>
      <c r="O35" s="25"/>
    </row>
    <row r="36" spans="1:15" x14ac:dyDescent="0.25">
      <c r="A36" s="29"/>
      <c r="B36" s="29"/>
      <c r="C36" s="29"/>
      <c r="D36" s="8"/>
      <c r="E36" s="34"/>
      <c r="F36" s="31"/>
      <c r="G36" s="31"/>
      <c r="H36" s="9"/>
      <c r="I36" s="35"/>
      <c r="J36" s="33"/>
      <c r="K36" s="33"/>
      <c r="M36" s="24"/>
      <c r="O36" s="25"/>
    </row>
    <row r="37" spans="1:15" x14ac:dyDescent="0.25">
      <c r="A37" s="29"/>
      <c r="B37" s="29"/>
      <c r="C37" s="29"/>
      <c r="D37" s="8"/>
      <c r="E37" s="34"/>
      <c r="F37" s="31"/>
      <c r="G37" s="31"/>
      <c r="H37" s="9"/>
      <c r="I37" s="35"/>
      <c r="J37" s="33"/>
      <c r="K37" s="33"/>
      <c r="M37" s="24"/>
      <c r="O37" s="25"/>
    </row>
    <row r="38" spans="1:15" x14ac:dyDescent="0.25">
      <c r="A38" s="29"/>
      <c r="B38" s="29"/>
      <c r="C38" s="29"/>
      <c r="D38" s="8"/>
      <c r="E38" s="34"/>
      <c r="F38" s="31"/>
      <c r="G38" s="31"/>
      <c r="H38" s="9"/>
      <c r="I38" s="35"/>
      <c r="J38" s="33"/>
      <c r="K38" s="33"/>
      <c r="M38" s="24"/>
      <c r="O38" s="25"/>
    </row>
    <row r="39" spans="1:15" x14ac:dyDescent="0.25">
      <c r="A39" s="29"/>
      <c r="B39" s="29"/>
      <c r="C39" s="29"/>
      <c r="D39" s="8"/>
      <c r="E39" s="34"/>
      <c r="F39" s="31"/>
      <c r="G39" s="31"/>
      <c r="H39" s="9"/>
      <c r="I39" s="35"/>
      <c r="J39" s="33"/>
      <c r="K39" s="33"/>
      <c r="M39" s="24"/>
      <c r="O39" s="25"/>
    </row>
    <row r="40" spans="1:15" x14ac:dyDescent="0.25">
      <c r="A40" s="29"/>
      <c r="B40" s="29"/>
      <c r="C40" s="29"/>
      <c r="D40" s="8"/>
      <c r="E40" s="34"/>
      <c r="F40" s="31"/>
      <c r="G40" s="31"/>
      <c r="H40" s="9"/>
      <c r="I40" s="35"/>
      <c r="J40" s="33"/>
      <c r="K40" s="33"/>
      <c r="M40" s="24"/>
      <c r="O40" s="25"/>
    </row>
    <row r="41" spans="1:15" x14ac:dyDescent="0.25">
      <c r="A41" s="29"/>
      <c r="B41" s="29"/>
      <c r="C41" s="29"/>
      <c r="D41" s="8"/>
      <c r="E41" s="34"/>
      <c r="F41" s="31"/>
      <c r="G41" s="31"/>
      <c r="H41" s="9"/>
      <c r="I41" s="35"/>
      <c r="J41" s="33"/>
      <c r="K41" s="33"/>
      <c r="M41" s="24"/>
      <c r="O41" s="25"/>
    </row>
    <row r="42" spans="1:15" x14ac:dyDescent="0.25">
      <c r="A42" s="29"/>
      <c r="B42" s="29"/>
      <c r="C42" s="29"/>
      <c r="D42" s="8"/>
      <c r="E42" s="34"/>
      <c r="F42" s="31"/>
      <c r="G42" s="31"/>
      <c r="H42" s="9"/>
      <c r="I42" s="35"/>
      <c r="J42" s="33"/>
      <c r="K42" s="33"/>
      <c r="M42" s="24"/>
      <c r="O42" s="25"/>
    </row>
    <row r="43" spans="1:15" x14ac:dyDescent="0.25">
      <c r="A43" s="29"/>
      <c r="B43" s="29"/>
      <c r="C43" s="29"/>
      <c r="D43" s="8"/>
      <c r="E43" s="34"/>
      <c r="F43" s="31"/>
      <c r="G43" s="31"/>
      <c r="H43" s="9"/>
      <c r="I43" s="35"/>
      <c r="J43" s="33"/>
      <c r="K43" s="33"/>
      <c r="M43" s="24"/>
      <c r="O43" s="25"/>
    </row>
    <row r="44" spans="1:15" x14ac:dyDescent="0.25">
      <c r="A44" s="29"/>
      <c r="B44" s="29"/>
      <c r="C44" s="29"/>
      <c r="D44" s="8"/>
      <c r="E44" s="34"/>
      <c r="F44" s="31"/>
      <c r="G44" s="31"/>
      <c r="H44" s="9"/>
      <c r="I44" s="35"/>
      <c r="J44" s="33"/>
      <c r="K44" s="33"/>
      <c r="M44" s="24"/>
      <c r="O44" s="25"/>
    </row>
    <row r="45" spans="1:15" x14ac:dyDescent="0.25">
      <c r="A45" s="29"/>
      <c r="B45" s="29"/>
      <c r="C45" s="29"/>
      <c r="D45" s="8"/>
      <c r="E45" s="34"/>
      <c r="F45" s="31"/>
      <c r="G45" s="31"/>
      <c r="H45" s="9"/>
      <c r="I45" s="35"/>
      <c r="J45" s="33"/>
      <c r="K45" s="33"/>
      <c r="M45" s="24"/>
      <c r="O45" s="25"/>
    </row>
    <row r="46" spans="1:15" x14ac:dyDescent="0.25">
      <c r="A46" s="29"/>
      <c r="B46" s="29"/>
      <c r="C46" s="29"/>
      <c r="D46" s="8"/>
      <c r="E46" s="34"/>
      <c r="F46" s="31"/>
      <c r="G46" s="31"/>
      <c r="H46" s="9"/>
      <c r="I46" s="35"/>
      <c r="J46" s="33"/>
      <c r="K46" s="33"/>
      <c r="M46" s="24"/>
      <c r="O46" s="25"/>
    </row>
    <row r="47" spans="1:15" x14ac:dyDescent="0.25">
      <c r="A47" s="29"/>
      <c r="B47" s="29"/>
      <c r="C47" s="29"/>
      <c r="D47" s="8"/>
      <c r="E47" s="34"/>
      <c r="F47" s="31"/>
      <c r="G47" s="31"/>
      <c r="H47" s="9"/>
      <c r="I47" s="35"/>
      <c r="J47" s="33"/>
      <c r="K47" s="33"/>
      <c r="M47" s="24"/>
      <c r="O47" s="25"/>
    </row>
    <row r="48" spans="1:15" x14ac:dyDescent="0.25">
      <c r="A48" s="29"/>
      <c r="B48" s="29"/>
      <c r="C48" s="29"/>
      <c r="D48" s="8"/>
      <c r="E48" s="34"/>
      <c r="F48" s="31"/>
      <c r="G48" s="31"/>
      <c r="H48" s="9"/>
      <c r="I48" s="35"/>
      <c r="J48" s="33"/>
      <c r="K48" s="33"/>
      <c r="M48" s="24"/>
      <c r="O48" s="25"/>
    </row>
    <row r="49" spans="1:15" x14ac:dyDescent="0.25">
      <c r="A49" s="29"/>
      <c r="B49" s="29"/>
      <c r="C49" s="29"/>
      <c r="D49" s="8"/>
      <c r="E49" s="34"/>
      <c r="F49" s="31"/>
      <c r="G49" s="31"/>
      <c r="H49" s="9"/>
      <c r="I49" s="35"/>
      <c r="J49" s="33"/>
      <c r="K49" s="33"/>
      <c r="M49" s="24"/>
      <c r="O49" s="25"/>
    </row>
    <row r="50" spans="1:15" x14ac:dyDescent="0.25">
      <c r="A50" s="29"/>
      <c r="B50" s="29"/>
      <c r="C50" s="29"/>
      <c r="D50" s="8"/>
      <c r="E50" s="34"/>
      <c r="F50" s="31"/>
      <c r="G50" s="31"/>
      <c r="H50" s="9"/>
      <c r="I50" s="35"/>
      <c r="J50" s="33"/>
      <c r="K50" s="33"/>
      <c r="M50" s="24"/>
      <c r="O50" s="25"/>
    </row>
    <row r="51" spans="1:15" x14ac:dyDescent="0.25">
      <c r="A51" s="29"/>
      <c r="B51" s="29"/>
      <c r="C51" s="29"/>
      <c r="D51" s="8"/>
      <c r="E51" s="34"/>
      <c r="F51" s="31"/>
      <c r="G51" s="31"/>
      <c r="H51" s="9"/>
      <c r="I51" s="35"/>
      <c r="J51" s="33"/>
      <c r="K51" s="33"/>
      <c r="M51" s="24"/>
      <c r="O51" s="25"/>
    </row>
    <row r="52" spans="1:15" x14ac:dyDescent="0.25">
      <c r="A52" s="29"/>
      <c r="B52" s="29"/>
      <c r="C52" s="29"/>
      <c r="D52" s="8"/>
      <c r="E52" s="34"/>
      <c r="F52" s="31"/>
      <c r="G52" s="31"/>
      <c r="H52" s="9"/>
      <c r="I52" s="35"/>
      <c r="J52" s="33"/>
      <c r="K52" s="33"/>
      <c r="M52" s="24"/>
      <c r="O52" s="25"/>
    </row>
    <row r="53" spans="1:15" x14ac:dyDescent="0.25">
      <c r="A53" s="29"/>
      <c r="B53" s="29"/>
      <c r="C53" s="29"/>
      <c r="D53" s="8"/>
      <c r="E53" s="34"/>
      <c r="F53" s="31"/>
      <c r="G53" s="31"/>
      <c r="H53" s="9"/>
      <c r="I53" s="35"/>
      <c r="J53" s="33"/>
      <c r="K53" s="33"/>
      <c r="M53" s="24"/>
      <c r="O53" s="25"/>
    </row>
    <row r="54" spans="1:15" x14ac:dyDescent="0.25">
      <c r="A54" s="29"/>
      <c r="B54" s="29"/>
      <c r="C54" s="29"/>
      <c r="D54" s="8"/>
      <c r="E54" s="34"/>
      <c r="F54" s="31"/>
      <c r="G54" s="31"/>
      <c r="H54" s="9"/>
      <c r="I54" s="35"/>
      <c r="J54" s="33"/>
      <c r="K54" s="33"/>
      <c r="M54" s="24"/>
      <c r="O54" s="25"/>
    </row>
    <row r="55" spans="1:15" x14ac:dyDescent="0.25">
      <c r="A55" s="29"/>
      <c r="B55" s="29"/>
      <c r="C55" s="29"/>
      <c r="D55" s="8"/>
      <c r="E55" s="34"/>
      <c r="F55" s="31"/>
      <c r="G55" s="31"/>
      <c r="H55" s="9"/>
      <c r="I55" s="35"/>
      <c r="J55" s="33"/>
      <c r="K55" s="33"/>
      <c r="M55" s="24"/>
      <c r="O55" s="25"/>
    </row>
    <row r="56" spans="1:15" x14ac:dyDescent="0.25">
      <c r="A56" s="7"/>
      <c r="B56" s="7"/>
      <c r="C56" s="7"/>
      <c r="D56" s="8"/>
      <c r="E56" s="15"/>
      <c r="F56" s="31"/>
      <c r="G56" s="31"/>
      <c r="H56" s="9"/>
      <c r="I56" s="16"/>
      <c r="J56" s="33"/>
      <c r="K56" s="33"/>
      <c r="M56" s="24"/>
      <c r="O56" s="25"/>
    </row>
    <row r="57" spans="1:15" x14ac:dyDescent="0.25">
      <c r="A57" s="7"/>
      <c r="B57" s="7"/>
      <c r="C57" s="7"/>
      <c r="D57" s="8"/>
      <c r="E57" s="15"/>
      <c r="F57" s="31"/>
      <c r="G57" s="31"/>
      <c r="H57" s="9"/>
      <c r="I57" s="16"/>
      <c r="J57" s="33"/>
      <c r="K57" s="33"/>
      <c r="M57" s="24"/>
      <c r="O57" s="25"/>
    </row>
    <row r="58" spans="1:15" x14ac:dyDescent="0.25">
      <c r="A58" s="7"/>
      <c r="B58" s="7"/>
      <c r="C58" s="7"/>
      <c r="D58" s="8"/>
      <c r="E58" s="15"/>
      <c r="F58" s="31"/>
      <c r="G58" s="31"/>
      <c r="H58" s="9"/>
      <c r="I58" s="16"/>
      <c r="J58" s="33"/>
      <c r="K58" s="33"/>
      <c r="M58" s="24"/>
      <c r="O58" s="25"/>
    </row>
    <row r="59" spans="1:15" x14ac:dyDescent="0.25">
      <c r="A59" s="7"/>
      <c r="B59" s="7"/>
      <c r="C59" s="7"/>
      <c r="D59" s="8"/>
      <c r="E59" s="15"/>
      <c r="F59" s="31"/>
      <c r="G59" s="31"/>
      <c r="H59" s="9"/>
      <c r="I59" s="16"/>
      <c r="J59" s="33"/>
      <c r="K59" s="33"/>
      <c r="M59" s="24"/>
      <c r="O59" s="25"/>
    </row>
    <row r="60" spans="1:15" x14ac:dyDescent="0.25">
      <c r="A60" s="7"/>
      <c r="B60" s="7"/>
      <c r="C60" s="7"/>
      <c r="D60" s="8"/>
      <c r="E60" s="15"/>
      <c r="F60" s="31"/>
      <c r="G60" s="31"/>
      <c r="H60" s="9"/>
      <c r="I60" s="16"/>
      <c r="J60" s="33"/>
      <c r="K60" s="33"/>
      <c r="M60" s="24"/>
      <c r="O60" s="25"/>
    </row>
    <row r="61" spans="1:15" x14ac:dyDescent="0.25">
      <c r="A61" s="7"/>
      <c r="B61" s="7"/>
      <c r="C61" s="7"/>
      <c r="D61" s="8"/>
      <c r="E61" s="15"/>
      <c r="F61" s="31"/>
      <c r="G61" s="31"/>
      <c r="H61" s="9"/>
      <c r="I61" s="16"/>
      <c r="J61" s="33"/>
      <c r="K61" s="33"/>
      <c r="M61" s="24"/>
      <c r="O61" s="25"/>
    </row>
    <row r="62" spans="1:15" x14ac:dyDescent="0.25">
      <c r="A62" s="7"/>
      <c r="B62" s="7"/>
      <c r="C62" s="7"/>
      <c r="D62" s="8"/>
      <c r="E62" s="15"/>
      <c r="F62" s="31"/>
      <c r="G62" s="31"/>
      <c r="H62" s="9"/>
      <c r="I62" s="16"/>
      <c r="J62" s="33"/>
      <c r="K62" s="33"/>
      <c r="M62" s="24"/>
      <c r="O62" s="25"/>
    </row>
    <row r="63" spans="1:15" x14ac:dyDescent="0.25">
      <c r="A63" s="29"/>
      <c r="B63" s="29"/>
      <c r="C63" s="29"/>
      <c r="D63" s="8"/>
      <c r="E63" s="34"/>
      <c r="F63" s="31"/>
      <c r="G63" s="31"/>
      <c r="H63" s="9"/>
      <c r="I63" s="35"/>
      <c r="J63" s="33"/>
      <c r="K63" s="33"/>
      <c r="M63" s="24"/>
      <c r="O63" s="25"/>
    </row>
    <row r="64" spans="1:15" x14ac:dyDescent="0.25">
      <c r="A64" s="29"/>
      <c r="B64" s="29"/>
      <c r="C64" s="29"/>
      <c r="D64" s="8"/>
      <c r="E64" s="34"/>
      <c r="F64" s="31"/>
      <c r="G64" s="31"/>
      <c r="H64" s="9"/>
      <c r="I64" s="35"/>
      <c r="J64" s="33"/>
      <c r="K64" s="33"/>
      <c r="M64" s="24"/>
      <c r="O64" s="25"/>
    </row>
    <row r="65" spans="1:15" x14ac:dyDescent="0.25">
      <c r="A65" s="29"/>
      <c r="B65" s="29"/>
      <c r="C65" s="29"/>
      <c r="D65" s="8"/>
      <c r="E65" s="34"/>
      <c r="F65" s="31"/>
      <c r="G65" s="31"/>
      <c r="H65" s="9"/>
      <c r="I65" s="35"/>
      <c r="J65" s="33"/>
      <c r="K65" s="33"/>
      <c r="M65" s="24"/>
      <c r="O65" s="25"/>
    </row>
    <row r="66" spans="1:15" x14ac:dyDescent="0.25">
      <c r="A66" s="29"/>
      <c r="B66" s="29"/>
      <c r="C66" s="29"/>
      <c r="D66" s="8"/>
      <c r="E66" s="34"/>
      <c r="F66" s="31"/>
      <c r="G66" s="31"/>
      <c r="H66" s="9"/>
      <c r="I66" s="35"/>
      <c r="J66" s="33"/>
      <c r="K66" s="33"/>
      <c r="M66" s="24"/>
      <c r="O66" s="25"/>
    </row>
    <row r="67" spans="1:15" x14ac:dyDescent="0.25">
      <c r="A67" s="29"/>
      <c r="B67" s="29"/>
      <c r="C67" s="29"/>
      <c r="D67" s="8"/>
      <c r="E67" s="34"/>
      <c r="F67" s="31"/>
      <c r="G67" s="31"/>
      <c r="H67" s="9"/>
      <c r="I67" s="35"/>
      <c r="J67" s="33"/>
      <c r="K67" s="33"/>
      <c r="M67" s="24"/>
      <c r="O67" s="25"/>
    </row>
    <row r="68" spans="1:15" x14ac:dyDescent="0.25">
      <c r="A68" s="29"/>
      <c r="B68" s="29"/>
      <c r="C68" s="29"/>
      <c r="D68" s="8"/>
      <c r="E68" s="34"/>
      <c r="F68" s="31"/>
      <c r="G68" s="31"/>
      <c r="H68" s="9"/>
      <c r="I68" s="35"/>
      <c r="J68" s="33"/>
      <c r="K68" s="33"/>
      <c r="M68" s="24"/>
      <c r="O68" s="25"/>
    </row>
    <row r="69" spans="1:15" x14ac:dyDescent="0.25">
      <c r="A69" s="29"/>
      <c r="B69" s="29"/>
      <c r="C69" s="29"/>
      <c r="D69" s="8"/>
      <c r="E69" s="34"/>
      <c r="F69" s="31"/>
      <c r="G69" s="31"/>
      <c r="H69" s="9"/>
      <c r="I69" s="35"/>
      <c r="J69" s="33"/>
      <c r="K69" s="33"/>
      <c r="M69" s="24"/>
      <c r="O69" s="25"/>
    </row>
    <row r="70" spans="1:15" x14ac:dyDescent="0.25">
      <c r="A70" s="29"/>
      <c r="B70" s="29"/>
      <c r="C70" s="29"/>
      <c r="D70" s="8"/>
      <c r="E70" s="34"/>
      <c r="F70" s="31"/>
      <c r="G70" s="31"/>
      <c r="H70" s="9"/>
      <c r="I70" s="35"/>
      <c r="J70" s="33"/>
      <c r="K70" s="33"/>
      <c r="M70" s="24"/>
      <c r="O70" s="25"/>
    </row>
    <row r="71" spans="1:15" x14ac:dyDescent="0.25">
      <c r="A71" s="29"/>
      <c r="B71" s="29"/>
      <c r="C71" s="29"/>
      <c r="D71" s="8"/>
      <c r="E71" s="34"/>
      <c r="F71" s="31"/>
      <c r="G71" s="31"/>
      <c r="H71" s="9"/>
      <c r="I71" s="35"/>
      <c r="J71" s="33"/>
      <c r="K71" s="33"/>
      <c r="M71" s="24"/>
      <c r="O71" s="25"/>
    </row>
    <row r="72" spans="1:15" x14ac:dyDescent="0.25">
      <c r="A72" s="29"/>
      <c r="B72" s="29"/>
      <c r="C72" s="29"/>
      <c r="D72" s="8"/>
      <c r="E72" s="34"/>
      <c r="F72" s="31"/>
      <c r="G72" s="31"/>
      <c r="H72" s="9"/>
      <c r="I72" s="35"/>
      <c r="J72" s="33"/>
      <c r="K72" s="33"/>
      <c r="M72" s="24"/>
      <c r="O72" s="25"/>
    </row>
    <row r="73" spans="1:15" x14ac:dyDescent="0.25">
      <c r="A73" s="29"/>
      <c r="B73" s="29"/>
      <c r="C73" s="29"/>
      <c r="D73" s="8"/>
      <c r="E73" s="34"/>
      <c r="F73" s="31"/>
      <c r="G73" s="31"/>
      <c r="H73" s="9"/>
      <c r="I73" s="35"/>
      <c r="J73" s="33"/>
      <c r="K73" s="33"/>
      <c r="M73" s="24"/>
      <c r="O73" s="25"/>
    </row>
    <row r="74" spans="1:15" x14ac:dyDescent="0.25">
      <c r="A74" s="29"/>
      <c r="B74" s="29"/>
      <c r="C74" s="29"/>
      <c r="D74" s="8"/>
      <c r="E74" s="34"/>
      <c r="F74" s="31"/>
      <c r="G74" s="31"/>
      <c r="H74" s="9"/>
      <c r="I74" s="35"/>
      <c r="J74" s="33"/>
      <c r="K74" s="33"/>
      <c r="M74" s="24"/>
      <c r="O74" s="25"/>
    </row>
    <row r="75" spans="1:15" x14ac:dyDescent="0.25">
      <c r="A75" s="29"/>
      <c r="B75" s="29"/>
      <c r="C75" s="29"/>
      <c r="D75" s="8"/>
      <c r="E75" s="34"/>
      <c r="F75" s="31"/>
      <c r="G75" s="31"/>
      <c r="H75" s="9"/>
      <c r="I75" s="35"/>
      <c r="J75" s="33"/>
      <c r="K75" s="33"/>
      <c r="M75" s="24"/>
      <c r="O75" s="25"/>
    </row>
    <row r="76" spans="1:15" x14ac:dyDescent="0.25">
      <c r="A76" s="29"/>
      <c r="B76" s="29"/>
      <c r="C76" s="29"/>
      <c r="D76" s="8"/>
      <c r="E76" s="34"/>
      <c r="F76" s="31"/>
      <c r="G76" s="31"/>
      <c r="H76" s="9"/>
      <c r="I76" s="35"/>
      <c r="J76" s="33"/>
      <c r="K76" s="33"/>
      <c r="M76" s="24"/>
      <c r="O76" s="25"/>
    </row>
    <row r="77" spans="1:15" x14ac:dyDescent="0.25">
      <c r="A77" s="29"/>
      <c r="B77" s="29"/>
      <c r="C77" s="29"/>
      <c r="D77" s="8"/>
      <c r="E77" s="34"/>
      <c r="F77" s="31"/>
      <c r="G77" s="31"/>
      <c r="H77" s="9"/>
      <c r="I77" s="35"/>
      <c r="J77" s="33"/>
      <c r="K77" s="33"/>
      <c r="M77" s="24"/>
      <c r="O77" s="25"/>
    </row>
    <row r="78" spans="1:15" x14ac:dyDescent="0.25">
      <c r="A78" s="29"/>
      <c r="B78" s="29"/>
      <c r="C78" s="29"/>
      <c r="D78" s="8"/>
      <c r="E78" s="34"/>
      <c r="F78" s="31"/>
      <c r="G78" s="31"/>
      <c r="H78" s="9"/>
      <c r="I78" s="35"/>
      <c r="J78" s="33"/>
      <c r="K78" s="33"/>
      <c r="M78" s="24"/>
      <c r="O78" s="25"/>
    </row>
    <row r="79" spans="1:15" x14ac:dyDescent="0.25">
      <c r="A79" s="29"/>
      <c r="B79" s="29"/>
      <c r="C79" s="29"/>
      <c r="D79" s="8"/>
      <c r="E79" s="34"/>
      <c r="F79" s="31"/>
      <c r="G79" s="31"/>
      <c r="H79" s="9"/>
      <c r="I79" s="35"/>
      <c r="J79" s="33"/>
      <c r="K79" s="33"/>
      <c r="M79" s="24"/>
      <c r="O79" s="25"/>
    </row>
    <row r="80" spans="1:15" x14ac:dyDescent="0.25">
      <c r="A80" s="29"/>
      <c r="B80" s="29"/>
      <c r="C80" s="29"/>
      <c r="D80" s="8"/>
      <c r="E80" s="34"/>
      <c r="F80" s="31"/>
      <c r="G80" s="31"/>
      <c r="H80" s="9"/>
      <c r="I80" s="35"/>
      <c r="J80" s="33"/>
      <c r="K80" s="33"/>
      <c r="M80" s="24"/>
      <c r="O80" s="25"/>
    </row>
    <row r="81" spans="1:15" x14ac:dyDescent="0.25">
      <c r="A81" s="29"/>
      <c r="B81" s="29"/>
      <c r="C81" s="29"/>
      <c r="D81" s="8"/>
      <c r="E81" s="34"/>
      <c r="F81" s="31"/>
      <c r="G81" s="31"/>
      <c r="H81" s="9"/>
      <c r="I81" s="35"/>
      <c r="J81" s="33"/>
      <c r="K81" s="33"/>
      <c r="M81" s="24"/>
      <c r="O81" s="25"/>
    </row>
    <row r="82" spans="1:15" x14ac:dyDescent="0.25">
      <c r="A82" s="29"/>
      <c r="B82" s="29"/>
      <c r="C82" s="29"/>
      <c r="D82" s="8"/>
      <c r="E82" s="34"/>
      <c r="F82" s="31"/>
      <c r="G82" s="31"/>
      <c r="H82" s="9"/>
      <c r="I82" s="35"/>
      <c r="J82" s="33"/>
      <c r="K82" s="33"/>
      <c r="M82" s="24"/>
      <c r="O82" s="25"/>
    </row>
    <row r="83" spans="1:15" x14ac:dyDescent="0.25">
      <c r="A83" s="29"/>
      <c r="B83" s="29"/>
      <c r="C83" s="29"/>
      <c r="D83" s="8"/>
      <c r="E83" s="34"/>
      <c r="F83" s="31"/>
      <c r="G83" s="31"/>
      <c r="H83" s="9"/>
      <c r="I83" s="35"/>
      <c r="J83" s="33"/>
      <c r="K83" s="33"/>
      <c r="M83" s="24"/>
      <c r="O83" s="25"/>
    </row>
    <row r="84" spans="1:15" x14ac:dyDescent="0.25">
      <c r="A84" s="29"/>
      <c r="B84" s="29"/>
      <c r="C84" s="29"/>
      <c r="D84" s="8"/>
      <c r="E84" s="34"/>
      <c r="F84" s="31"/>
      <c r="G84" s="31"/>
      <c r="H84" s="9"/>
      <c r="I84" s="35"/>
      <c r="J84" s="33"/>
      <c r="K84" s="33"/>
      <c r="M84" s="24"/>
      <c r="O84" s="25"/>
    </row>
    <row r="85" spans="1:15" x14ac:dyDescent="0.25">
      <c r="A85" s="29"/>
      <c r="B85" s="29"/>
      <c r="C85" s="29"/>
      <c r="D85" s="8"/>
      <c r="E85" s="34"/>
      <c r="F85" s="31"/>
      <c r="G85" s="31"/>
      <c r="H85" s="9"/>
      <c r="I85" s="35"/>
      <c r="J85" s="33"/>
      <c r="K85" s="33"/>
      <c r="M85" s="24"/>
      <c r="O85" s="25"/>
    </row>
    <row r="86" spans="1:15" x14ac:dyDescent="0.25">
      <c r="A86" s="29"/>
      <c r="B86" s="29"/>
      <c r="C86" s="29"/>
      <c r="D86" s="8"/>
      <c r="E86" s="34"/>
      <c r="F86" s="31"/>
      <c r="G86" s="31"/>
      <c r="H86" s="9"/>
      <c r="I86" s="35"/>
      <c r="J86" s="33"/>
      <c r="K86" s="33"/>
      <c r="M86" s="24"/>
      <c r="O86" s="25"/>
    </row>
    <row r="87" spans="1:15" x14ac:dyDescent="0.25">
      <c r="A87" s="29"/>
      <c r="B87" s="29"/>
      <c r="C87" s="29"/>
      <c r="D87" s="8"/>
      <c r="E87" s="34"/>
      <c r="F87" s="31"/>
      <c r="G87" s="31"/>
      <c r="H87" s="9"/>
      <c r="I87" s="35"/>
      <c r="J87" s="33"/>
      <c r="K87" s="33"/>
      <c r="M87" s="24"/>
      <c r="O87" s="25"/>
    </row>
    <row r="88" spans="1:15" x14ac:dyDescent="0.25">
      <c r="A88" s="29"/>
      <c r="B88" s="29"/>
      <c r="C88" s="29"/>
      <c r="D88" s="8"/>
      <c r="E88" s="34"/>
      <c r="F88" s="31"/>
      <c r="G88" s="31"/>
      <c r="H88" s="9"/>
      <c r="I88" s="35"/>
      <c r="J88" s="33"/>
      <c r="K88" s="33"/>
      <c r="M88" s="24"/>
      <c r="O88" s="25"/>
    </row>
    <row r="89" spans="1:15" x14ac:dyDescent="0.25">
      <c r="A89" s="29"/>
      <c r="B89" s="29"/>
      <c r="C89" s="29"/>
      <c r="D89" s="8"/>
      <c r="E89" s="34"/>
      <c r="F89" s="31"/>
      <c r="G89" s="31"/>
      <c r="H89" s="9"/>
      <c r="I89" s="35"/>
      <c r="J89" s="33"/>
      <c r="K89" s="33"/>
      <c r="M89" s="24"/>
      <c r="O89" s="25"/>
    </row>
    <row r="90" spans="1:15" x14ac:dyDescent="0.25">
      <c r="A90" s="29"/>
      <c r="B90" s="29"/>
      <c r="C90" s="29"/>
      <c r="D90" s="8"/>
      <c r="E90" s="34"/>
      <c r="F90" s="31"/>
      <c r="G90" s="31"/>
      <c r="H90" s="9"/>
      <c r="I90" s="35"/>
      <c r="J90" s="33"/>
      <c r="K90" s="33"/>
      <c r="M90" s="24"/>
      <c r="O90" s="25"/>
    </row>
    <row r="91" spans="1:15" x14ac:dyDescent="0.25">
      <c r="A91" s="29"/>
      <c r="B91" s="29"/>
      <c r="C91" s="29"/>
      <c r="D91" s="8"/>
      <c r="E91" s="34"/>
      <c r="F91" s="31"/>
      <c r="G91" s="31"/>
      <c r="H91" s="9"/>
      <c r="I91" s="35"/>
      <c r="J91" s="33"/>
      <c r="K91" s="33"/>
      <c r="M91" s="24"/>
      <c r="O91" s="25"/>
    </row>
    <row r="92" spans="1:15" x14ac:dyDescent="0.25">
      <c r="A92" s="29"/>
      <c r="B92" s="29"/>
      <c r="C92" s="29"/>
      <c r="D92" s="8"/>
      <c r="E92" s="34"/>
      <c r="F92" s="31"/>
      <c r="G92" s="31"/>
      <c r="H92" s="9"/>
      <c r="I92" s="35"/>
      <c r="J92" s="33"/>
      <c r="K92" s="33"/>
      <c r="M92" s="24"/>
      <c r="O92" s="25"/>
    </row>
    <row r="93" spans="1:15" x14ac:dyDescent="0.25">
      <c r="A93" s="29"/>
      <c r="B93" s="29"/>
      <c r="C93" s="29"/>
      <c r="D93" s="8"/>
      <c r="E93" s="34"/>
      <c r="F93" s="31"/>
      <c r="G93" s="31"/>
      <c r="H93" s="9"/>
      <c r="I93" s="35"/>
      <c r="J93" s="33"/>
      <c r="K93" s="33"/>
      <c r="M93" s="24"/>
      <c r="O93" s="25"/>
    </row>
    <row r="94" spans="1:15" x14ac:dyDescent="0.25">
      <c r="A94" s="7"/>
      <c r="B94" s="7"/>
      <c r="C94" s="7"/>
      <c r="D94" s="8"/>
      <c r="E94" s="15"/>
      <c r="F94" s="17"/>
      <c r="G94" s="17"/>
      <c r="H94" s="9"/>
      <c r="I94" s="35"/>
      <c r="J94" s="20"/>
      <c r="K94" s="20"/>
      <c r="M94" s="24"/>
      <c r="O94" s="25"/>
    </row>
    <row r="95" spans="1:15" x14ac:dyDescent="0.25">
      <c r="A95" s="7"/>
      <c r="B95" s="7"/>
      <c r="C95" s="7"/>
      <c r="D95" s="8"/>
      <c r="E95" s="15"/>
      <c r="F95" s="17"/>
      <c r="G95" s="17"/>
      <c r="H95" s="9"/>
      <c r="I95" s="16"/>
      <c r="J95" s="20"/>
      <c r="K95" s="20"/>
      <c r="M95" s="24"/>
      <c r="O95" s="25"/>
    </row>
    <row r="96" spans="1:15" x14ac:dyDescent="0.25">
      <c r="A96" s="7"/>
      <c r="B96" s="7"/>
      <c r="C96" s="7"/>
      <c r="D96" s="8"/>
      <c r="E96" s="15"/>
      <c r="F96" s="17"/>
      <c r="G96" s="17"/>
      <c r="H96" s="9"/>
      <c r="I96" s="16"/>
      <c r="J96" s="20"/>
      <c r="K96" s="20"/>
      <c r="M96" s="24"/>
      <c r="O96" s="25"/>
    </row>
    <row r="97" spans="1:15" x14ac:dyDescent="0.25">
      <c r="A97" s="7"/>
      <c r="B97" s="7"/>
      <c r="C97" s="7"/>
      <c r="D97" s="8"/>
      <c r="E97" s="15"/>
      <c r="F97" s="17"/>
      <c r="G97" s="17"/>
      <c r="H97" s="9"/>
      <c r="I97" s="16"/>
      <c r="J97" s="20"/>
      <c r="K97" s="20"/>
      <c r="M97" s="24"/>
      <c r="O97" s="25"/>
    </row>
    <row r="98" spans="1:15" x14ac:dyDescent="0.25">
      <c r="A98" s="29"/>
      <c r="B98" s="29"/>
      <c r="C98" s="29"/>
      <c r="D98" s="8"/>
      <c r="E98" s="34"/>
      <c r="F98" s="31"/>
      <c r="G98" s="31"/>
      <c r="H98" s="9"/>
      <c r="I98" s="35"/>
      <c r="J98" s="33"/>
      <c r="K98" s="33"/>
      <c r="M98" s="24"/>
      <c r="O98" s="25"/>
    </row>
    <row r="99" spans="1:15" x14ac:dyDescent="0.25">
      <c r="A99" s="29"/>
      <c r="B99" s="29"/>
      <c r="C99" s="29"/>
      <c r="D99" s="8"/>
      <c r="E99" s="34"/>
      <c r="F99" s="31"/>
      <c r="G99" s="31"/>
      <c r="H99" s="9"/>
      <c r="I99" s="35"/>
      <c r="J99" s="33"/>
      <c r="K99" s="33"/>
      <c r="M99" s="24"/>
      <c r="O99" s="25"/>
    </row>
    <row r="100" spans="1:15" x14ac:dyDescent="0.25">
      <c r="A100" s="29"/>
      <c r="B100" s="29"/>
      <c r="C100" s="29"/>
      <c r="D100" s="8"/>
      <c r="E100" s="34"/>
      <c r="F100" s="31"/>
      <c r="G100" s="31"/>
      <c r="H100" s="9"/>
      <c r="I100" s="35"/>
      <c r="J100" s="33"/>
      <c r="K100" s="33"/>
      <c r="M100" s="24"/>
      <c r="O100" s="25"/>
    </row>
    <row r="101" spans="1:15" x14ac:dyDescent="0.25">
      <c r="A101" s="29"/>
      <c r="B101" s="29"/>
      <c r="C101" s="29"/>
      <c r="D101" s="8"/>
      <c r="E101" s="34"/>
      <c r="F101" s="31"/>
      <c r="G101" s="31"/>
      <c r="H101" s="9"/>
      <c r="I101" s="35"/>
      <c r="J101" s="33"/>
      <c r="K101" s="33"/>
      <c r="M101" s="24"/>
      <c r="O101" s="25"/>
    </row>
    <row r="102" spans="1:15" x14ac:dyDescent="0.25">
      <c r="A102" s="29"/>
      <c r="B102" s="29"/>
      <c r="C102" s="29"/>
      <c r="D102" s="8"/>
      <c r="E102" s="34"/>
      <c r="F102" s="31"/>
      <c r="G102" s="31"/>
      <c r="H102" s="9"/>
      <c r="I102" s="35"/>
      <c r="J102" s="33"/>
      <c r="K102" s="33"/>
      <c r="M102" s="24"/>
      <c r="O102" s="25"/>
    </row>
    <row r="103" spans="1:15" x14ac:dyDescent="0.25">
      <c r="A103" s="29"/>
      <c r="B103" s="29"/>
      <c r="C103" s="29"/>
      <c r="D103" s="8"/>
      <c r="E103" s="34"/>
      <c r="F103" s="31"/>
      <c r="G103" s="31"/>
      <c r="H103" s="9"/>
      <c r="I103" s="35"/>
      <c r="J103" s="33"/>
      <c r="K103" s="33"/>
      <c r="M103" s="24"/>
      <c r="O103" s="25"/>
    </row>
    <row r="104" spans="1:15" x14ac:dyDescent="0.25">
      <c r="A104" s="29"/>
      <c r="B104" s="29"/>
      <c r="C104" s="29"/>
      <c r="D104" s="8"/>
      <c r="E104" s="34"/>
      <c r="F104" s="31"/>
      <c r="G104" s="31"/>
      <c r="H104" s="9"/>
      <c r="I104" s="35"/>
      <c r="J104" s="33"/>
      <c r="K104" s="33"/>
      <c r="M104" s="24"/>
      <c r="O104" s="25"/>
    </row>
    <row r="105" spans="1:15" x14ac:dyDescent="0.25">
      <c r="A105" s="29"/>
      <c r="B105" s="29"/>
      <c r="C105" s="29"/>
      <c r="D105" s="8"/>
      <c r="E105" s="34"/>
      <c r="F105" s="31"/>
      <c r="G105" s="31"/>
      <c r="H105" s="9"/>
      <c r="I105" s="35"/>
      <c r="J105" s="33"/>
      <c r="K105" s="33"/>
      <c r="M105" s="24"/>
      <c r="O105" s="25"/>
    </row>
    <row r="106" spans="1:15" x14ac:dyDescent="0.25">
      <c r="A106" s="29"/>
      <c r="B106" s="29"/>
      <c r="C106" s="29"/>
      <c r="D106" s="8"/>
      <c r="E106" s="34"/>
      <c r="F106" s="31"/>
      <c r="G106" s="31"/>
      <c r="H106" s="9"/>
      <c r="I106" s="35"/>
      <c r="J106" s="33"/>
      <c r="K106" s="33"/>
      <c r="M106" s="24"/>
      <c r="O106" s="25"/>
    </row>
    <row r="107" spans="1:15" x14ac:dyDescent="0.25">
      <c r="A107" s="29"/>
      <c r="B107" s="29"/>
      <c r="C107" s="29"/>
      <c r="D107" s="8"/>
      <c r="E107" s="34"/>
      <c r="F107" s="31"/>
      <c r="G107" s="31"/>
      <c r="H107" s="9"/>
      <c r="I107" s="35"/>
      <c r="J107" s="33"/>
      <c r="K107" s="33"/>
      <c r="M107" s="24"/>
      <c r="O107" s="25"/>
    </row>
    <row r="108" spans="1:15" x14ac:dyDescent="0.25">
      <c r="A108" s="29"/>
      <c r="B108" s="29"/>
      <c r="C108" s="29"/>
      <c r="D108" s="8"/>
      <c r="E108" s="34"/>
      <c r="F108" s="31"/>
      <c r="G108" s="31"/>
      <c r="H108" s="9"/>
      <c r="I108" s="35"/>
      <c r="J108" s="33"/>
      <c r="K108" s="33"/>
      <c r="M108" s="24"/>
      <c r="O108" s="25"/>
    </row>
    <row r="109" spans="1:15" x14ac:dyDescent="0.25">
      <c r="A109" s="29"/>
      <c r="B109" s="29"/>
      <c r="C109" s="29"/>
      <c r="D109" s="8"/>
      <c r="E109" s="34"/>
      <c r="F109" s="31"/>
      <c r="G109" s="31"/>
      <c r="H109" s="9"/>
      <c r="I109" s="35"/>
      <c r="J109" s="33"/>
      <c r="K109" s="33"/>
      <c r="M109" s="24"/>
      <c r="O109" s="25"/>
    </row>
    <row r="110" spans="1:15" x14ac:dyDescent="0.25">
      <c r="A110" s="29"/>
      <c r="B110" s="29"/>
      <c r="C110" s="29"/>
      <c r="D110" s="8"/>
      <c r="E110" s="34"/>
      <c r="F110" s="31"/>
      <c r="G110" s="31"/>
      <c r="H110" s="9"/>
      <c r="I110" s="35"/>
      <c r="J110" s="33"/>
      <c r="K110" s="33"/>
      <c r="M110" s="24"/>
      <c r="O110" s="25"/>
    </row>
    <row r="111" spans="1:15" x14ac:dyDescent="0.25">
      <c r="A111" s="29"/>
      <c r="B111" s="29"/>
      <c r="C111" s="29"/>
      <c r="D111" s="8"/>
      <c r="E111" s="34"/>
      <c r="F111" s="31"/>
      <c r="G111" s="31"/>
      <c r="H111" s="9"/>
      <c r="I111" s="35"/>
      <c r="J111" s="33"/>
      <c r="K111" s="33"/>
      <c r="M111" s="24"/>
      <c r="O111" s="25"/>
    </row>
    <row r="112" spans="1:15" x14ac:dyDescent="0.25">
      <c r="A112" s="29"/>
      <c r="B112" s="29"/>
      <c r="C112" s="29"/>
      <c r="D112" s="8"/>
      <c r="E112" s="34"/>
      <c r="F112" s="31"/>
      <c r="G112" s="31"/>
      <c r="H112" s="9"/>
      <c r="I112" s="35"/>
      <c r="J112" s="33"/>
      <c r="K112" s="33"/>
      <c r="M112" s="24"/>
      <c r="O112" s="25"/>
    </row>
    <row r="113" spans="1:15" x14ac:dyDescent="0.25">
      <c r="A113" s="29"/>
      <c r="B113" s="29"/>
      <c r="C113" s="29"/>
      <c r="D113" s="8"/>
      <c r="E113" s="34"/>
      <c r="F113" s="31"/>
      <c r="G113" s="31"/>
      <c r="H113" s="9"/>
      <c r="I113" s="35"/>
      <c r="J113" s="33"/>
      <c r="K113" s="33"/>
      <c r="M113" s="24"/>
      <c r="O113" s="25"/>
    </row>
    <row r="114" spans="1:15" x14ac:dyDescent="0.25">
      <c r="A114" s="29"/>
      <c r="B114" s="29"/>
      <c r="C114" s="29"/>
      <c r="D114" s="8"/>
      <c r="E114" s="34"/>
      <c r="F114" s="31"/>
      <c r="G114" s="31"/>
      <c r="H114" s="9"/>
      <c r="I114" s="35"/>
      <c r="J114" s="33"/>
      <c r="K114" s="33"/>
      <c r="M114" s="24"/>
      <c r="O114" s="25"/>
    </row>
    <row r="115" spans="1:15" x14ac:dyDescent="0.25">
      <c r="A115" s="29"/>
      <c r="B115" s="29"/>
      <c r="C115" s="29"/>
      <c r="D115" s="8"/>
      <c r="E115" s="34"/>
      <c r="F115" s="31"/>
      <c r="G115" s="31"/>
      <c r="H115" s="9"/>
      <c r="I115" s="35"/>
      <c r="J115" s="33"/>
      <c r="K115" s="33"/>
      <c r="M115" s="24"/>
      <c r="O115" s="25"/>
    </row>
    <row r="116" spans="1:15" x14ac:dyDescent="0.25">
      <c r="A116" s="29"/>
      <c r="B116" s="29"/>
      <c r="C116" s="29"/>
      <c r="D116" s="8"/>
      <c r="E116" s="34"/>
      <c r="F116" s="31"/>
      <c r="G116" s="31"/>
      <c r="H116" s="9"/>
      <c r="I116" s="35"/>
      <c r="J116" s="33"/>
      <c r="K116" s="33"/>
      <c r="M116" s="24"/>
      <c r="O116" s="25"/>
    </row>
    <row r="117" spans="1:15" x14ac:dyDescent="0.25">
      <c r="A117" s="29"/>
      <c r="B117" s="29"/>
      <c r="C117" s="29"/>
      <c r="D117" s="8"/>
      <c r="E117" s="34"/>
      <c r="F117" s="31"/>
      <c r="G117" s="31"/>
      <c r="H117" s="9"/>
      <c r="I117" s="35"/>
      <c r="J117" s="33"/>
      <c r="K117" s="33"/>
      <c r="M117" s="24"/>
      <c r="O117" s="25"/>
    </row>
    <row r="118" spans="1:15" x14ac:dyDescent="0.25">
      <c r="A118" s="29"/>
      <c r="B118" s="29"/>
      <c r="C118" s="29"/>
      <c r="D118" s="8"/>
      <c r="E118" s="34"/>
      <c r="F118" s="31"/>
      <c r="G118" s="31"/>
      <c r="H118" s="9"/>
      <c r="I118" s="35"/>
      <c r="J118" s="33"/>
      <c r="K118" s="33"/>
      <c r="M118" s="24"/>
      <c r="O118" s="25"/>
    </row>
    <row r="119" spans="1:15" x14ac:dyDescent="0.25">
      <c r="A119" s="29"/>
      <c r="B119" s="29"/>
      <c r="C119" s="29"/>
      <c r="D119" s="8"/>
      <c r="E119" s="34"/>
      <c r="F119" s="31"/>
      <c r="G119" s="31"/>
      <c r="H119" s="9"/>
      <c r="I119" s="35"/>
      <c r="J119" s="33"/>
      <c r="K119" s="33"/>
      <c r="M119" s="24"/>
      <c r="O119" s="25"/>
    </row>
    <row r="120" spans="1:15" x14ac:dyDescent="0.25">
      <c r="A120" s="29"/>
      <c r="B120" s="29"/>
      <c r="C120" s="29"/>
      <c r="D120" s="8"/>
      <c r="E120" s="34"/>
      <c r="F120" s="31"/>
      <c r="G120" s="31"/>
      <c r="H120" s="9"/>
      <c r="I120" s="35"/>
      <c r="J120" s="33"/>
      <c r="K120" s="33"/>
      <c r="M120" s="24"/>
      <c r="O120" s="25"/>
    </row>
    <row r="121" spans="1:15" x14ac:dyDescent="0.25">
      <c r="A121" s="29"/>
      <c r="B121" s="29"/>
      <c r="C121" s="29"/>
      <c r="D121" s="8"/>
      <c r="E121" s="34"/>
      <c r="F121" s="31"/>
      <c r="G121" s="31"/>
      <c r="H121" s="9"/>
      <c r="I121" s="35"/>
      <c r="J121" s="33"/>
      <c r="K121" s="33"/>
      <c r="M121" s="24"/>
      <c r="O121" s="25"/>
    </row>
    <row r="122" spans="1:15" x14ac:dyDescent="0.25">
      <c r="A122" s="29"/>
      <c r="B122" s="29"/>
      <c r="C122" s="29"/>
      <c r="D122" s="8"/>
      <c r="E122" s="34"/>
      <c r="F122" s="31"/>
      <c r="G122" s="31"/>
      <c r="H122" s="9"/>
      <c r="I122" s="35"/>
      <c r="J122" s="33"/>
      <c r="K122" s="33"/>
      <c r="M122" s="24"/>
      <c r="O122" s="25"/>
    </row>
    <row r="123" spans="1:15" x14ac:dyDescent="0.25">
      <c r="A123" s="29"/>
      <c r="B123" s="29"/>
      <c r="C123" s="29"/>
      <c r="D123" s="8"/>
      <c r="E123" s="34"/>
      <c r="F123" s="31"/>
      <c r="G123" s="31"/>
      <c r="H123" s="9"/>
      <c r="I123" s="35"/>
      <c r="J123" s="33"/>
      <c r="K123" s="33"/>
      <c r="M123" s="24"/>
      <c r="O123" s="25"/>
    </row>
    <row r="124" spans="1:15" x14ac:dyDescent="0.25">
      <c r="A124" s="29"/>
      <c r="B124" s="29"/>
      <c r="C124" s="29"/>
      <c r="D124" s="8"/>
      <c r="E124" s="34"/>
      <c r="F124" s="31"/>
      <c r="G124" s="31"/>
      <c r="H124" s="9"/>
      <c r="I124" s="35"/>
      <c r="J124" s="33"/>
      <c r="K124" s="33"/>
      <c r="M124" s="24"/>
      <c r="O124" s="25"/>
    </row>
    <row r="125" spans="1:15" x14ac:dyDescent="0.25">
      <c r="A125" s="29"/>
      <c r="B125" s="29"/>
      <c r="C125" s="29"/>
      <c r="D125" s="8"/>
      <c r="E125" s="34"/>
      <c r="F125" s="31"/>
      <c r="G125" s="31"/>
      <c r="H125" s="9"/>
      <c r="I125" s="35"/>
      <c r="J125" s="33"/>
      <c r="K125" s="33"/>
      <c r="M125" s="24"/>
      <c r="O125" s="25"/>
    </row>
    <row r="126" spans="1:15" x14ac:dyDescent="0.25">
      <c r="A126" s="29"/>
      <c r="B126" s="29"/>
      <c r="C126" s="29"/>
      <c r="D126" s="8"/>
      <c r="E126" s="34"/>
      <c r="F126" s="31"/>
      <c r="G126" s="31"/>
      <c r="H126" s="9"/>
      <c r="I126" s="35"/>
      <c r="J126" s="33"/>
      <c r="K126" s="33"/>
      <c r="M126" s="24"/>
      <c r="O126" s="25"/>
    </row>
    <row r="127" spans="1:15" x14ac:dyDescent="0.25">
      <c r="A127" s="29"/>
      <c r="B127" s="29"/>
      <c r="C127" s="29"/>
      <c r="D127" s="8"/>
      <c r="E127" s="34"/>
      <c r="F127" s="31"/>
      <c r="G127" s="31"/>
      <c r="H127" s="9"/>
      <c r="I127" s="35"/>
      <c r="J127" s="33"/>
      <c r="K127" s="33"/>
      <c r="M127" s="24"/>
      <c r="O127" s="25"/>
    </row>
    <row r="128" spans="1:15" x14ac:dyDescent="0.25">
      <c r="A128" s="29"/>
      <c r="B128" s="29"/>
      <c r="C128" s="29"/>
      <c r="D128" s="8"/>
      <c r="E128" s="34"/>
      <c r="F128" s="31"/>
      <c r="G128" s="31"/>
      <c r="H128" s="9"/>
      <c r="I128" s="35"/>
      <c r="J128" s="33"/>
      <c r="K128" s="33"/>
      <c r="M128" s="24"/>
      <c r="O128" s="25"/>
    </row>
    <row r="129" spans="1:15" x14ac:dyDescent="0.25">
      <c r="A129" s="29"/>
      <c r="B129" s="29"/>
      <c r="C129" s="29"/>
      <c r="D129" s="8"/>
      <c r="E129" s="34"/>
      <c r="F129" s="31"/>
      <c r="G129" s="31"/>
      <c r="H129" s="9"/>
      <c r="I129" s="35"/>
      <c r="J129" s="33"/>
      <c r="K129" s="33"/>
      <c r="M129" s="24"/>
      <c r="O129" s="25"/>
    </row>
    <row r="130" spans="1:15" x14ac:dyDescent="0.25">
      <c r="A130" s="29"/>
      <c r="B130" s="29"/>
      <c r="C130" s="29"/>
      <c r="D130" s="8"/>
      <c r="E130" s="34"/>
      <c r="F130" s="31"/>
      <c r="G130" s="31"/>
      <c r="H130" s="9"/>
      <c r="I130" s="35"/>
      <c r="J130" s="33"/>
      <c r="K130" s="33"/>
      <c r="M130" s="24"/>
      <c r="O130" s="25"/>
    </row>
    <row r="131" spans="1:15" x14ac:dyDescent="0.25">
      <c r="A131" s="29"/>
      <c r="B131" s="29"/>
      <c r="C131" s="29"/>
      <c r="D131" s="8"/>
      <c r="E131" s="34"/>
      <c r="F131" s="31"/>
      <c r="G131" s="31"/>
      <c r="H131" s="9"/>
      <c r="I131" s="35"/>
      <c r="J131" s="33"/>
      <c r="K131" s="33"/>
      <c r="M131" s="24"/>
      <c r="O131" s="25"/>
    </row>
    <row r="132" spans="1:15" x14ac:dyDescent="0.25">
      <c r="A132" s="29"/>
      <c r="B132" s="29"/>
      <c r="C132" s="29"/>
      <c r="D132" s="8"/>
      <c r="E132" s="34"/>
      <c r="F132" s="31"/>
      <c r="G132" s="31"/>
      <c r="H132" s="9"/>
      <c r="I132" s="35"/>
      <c r="J132" s="33"/>
      <c r="K132" s="33"/>
      <c r="M132" s="24"/>
      <c r="O132" s="25"/>
    </row>
    <row r="133" spans="1:15" x14ac:dyDescent="0.25">
      <c r="A133" s="29"/>
      <c r="B133" s="29"/>
      <c r="C133" s="29"/>
      <c r="D133" s="8"/>
      <c r="E133" s="34"/>
      <c r="F133" s="31"/>
      <c r="G133" s="31"/>
      <c r="H133" s="9"/>
      <c r="I133" s="35"/>
      <c r="J133" s="33"/>
      <c r="K133" s="33"/>
      <c r="M133" s="24"/>
      <c r="O133" s="25"/>
    </row>
    <row r="134" spans="1:15" x14ac:dyDescent="0.25">
      <c r="A134" s="29"/>
      <c r="B134" s="29"/>
      <c r="C134" s="29"/>
      <c r="D134" s="8"/>
      <c r="E134" s="34"/>
      <c r="F134" s="31"/>
      <c r="G134" s="31"/>
      <c r="H134" s="9"/>
      <c r="I134" s="35"/>
      <c r="J134" s="33"/>
      <c r="K134" s="33"/>
      <c r="M134" s="24"/>
      <c r="O134" s="25"/>
    </row>
    <row r="135" spans="1:15" x14ac:dyDescent="0.25">
      <c r="A135" s="29"/>
      <c r="B135" s="29"/>
      <c r="C135" s="29"/>
      <c r="D135" s="8"/>
      <c r="E135" s="34"/>
      <c r="F135" s="31"/>
      <c r="G135" s="31"/>
      <c r="H135" s="9"/>
      <c r="I135" s="35"/>
      <c r="J135" s="33"/>
      <c r="K135" s="33"/>
      <c r="M135" s="24"/>
      <c r="O135" s="25"/>
    </row>
    <row r="136" spans="1:15" x14ac:dyDescent="0.25">
      <c r="A136" s="29"/>
      <c r="B136" s="29"/>
      <c r="C136" s="29"/>
      <c r="D136" s="8"/>
      <c r="E136" s="34"/>
      <c r="F136" s="31"/>
      <c r="G136" s="31"/>
      <c r="H136" s="9"/>
      <c r="I136" s="35"/>
      <c r="J136" s="33"/>
      <c r="K136" s="33"/>
      <c r="M136" s="24"/>
      <c r="O136" s="25"/>
    </row>
    <row r="137" spans="1:15" x14ac:dyDescent="0.25">
      <c r="A137" s="29"/>
      <c r="B137" s="29"/>
      <c r="C137" s="29"/>
      <c r="D137" s="8"/>
      <c r="E137" s="34"/>
      <c r="F137" s="31"/>
      <c r="G137" s="31"/>
      <c r="H137" s="9"/>
      <c r="I137" s="35"/>
      <c r="J137" s="33"/>
      <c r="K137" s="33"/>
      <c r="M137" s="24"/>
      <c r="O137" s="25"/>
    </row>
    <row r="138" spans="1:15" x14ac:dyDescent="0.25">
      <c r="A138" s="29"/>
      <c r="B138" s="29"/>
      <c r="C138" s="29"/>
      <c r="D138" s="8"/>
      <c r="E138" s="34"/>
      <c r="F138" s="31"/>
      <c r="G138" s="31"/>
      <c r="H138" s="9"/>
      <c r="I138" s="35"/>
      <c r="J138" s="33"/>
      <c r="K138" s="33"/>
      <c r="M138" s="24"/>
      <c r="O138" s="25"/>
    </row>
    <row r="139" spans="1:15" x14ac:dyDescent="0.25">
      <c r="A139" s="29"/>
      <c r="B139" s="29"/>
      <c r="C139" s="29"/>
      <c r="D139" s="8"/>
      <c r="E139" s="34"/>
      <c r="F139" s="31"/>
      <c r="G139" s="31"/>
      <c r="H139" s="9"/>
      <c r="I139" s="35"/>
      <c r="J139" s="33"/>
      <c r="K139" s="33"/>
      <c r="M139" s="24"/>
      <c r="O139" s="25"/>
    </row>
    <row r="140" spans="1:15" x14ac:dyDescent="0.25">
      <c r="A140" s="29"/>
      <c r="B140" s="29"/>
      <c r="C140" s="29"/>
      <c r="D140" s="8"/>
      <c r="E140" s="34"/>
      <c r="F140" s="31"/>
      <c r="G140" s="31"/>
      <c r="H140" s="9"/>
      <c r="I140" s="35"/>
      <c r="J140" s="33"/>
      <c r="K140" s="33"/>
      <c r="M140" s="24"/>
      <c r="O140" s="25"/>
    </row>
    <row r="141" spans="1:15" x14ac:dyDescent="0.25">
      <c r="A141" s="29"/>
      <c r="B141" s="29"/>
      <c r="C141" s="29"/>
      <c r="D141" s="8"/>
      <c r="E141" s="34"/>
      <c r="F141" s="31"/>
      <c r="G141" s="31"/>
      <c r="H141" s="9"/>
      <c r="I141" s="35"/>
      <c r="J141" s="33"/>
      <c r="K141" s="33"/>
      <c r="M141" s="24"/>
      <c r="O141" s="25"/>
    </row>
    <row r="142" spans="1:15" x14ac:dyDescent="0.25">
      <c r="A142" s="29"/>
      <c r="B142" s="29"/>
      <c r="C142" s="29"/>
      <c r="D142" s="8"/>
      <c r="E142" s="34"/>
      <c r="F142" s="31"/>
      <c r="G142" s="31"/>
      <c r="H142" s="9"/>
      <c r="I142" s="35"/>
      <c r="J142" s="33"/>
      <c r="K142" s="33"/>
      <c r="M142" s="24"/>
      <c r="O142" s="25"/>
    </row>
    <row r="143" spans="1:15" x14ac:dyDescent="0.25">
      <c r="A143" s="29"/>
      <c r="B143" s="29"/>
      <c r="C143" s="29"/>
      <c r="D143" s="8"/>
      <c r="E143" s="34"/>
      <c r="F143" s="31"/>
      <c r="G143" s="31"/>
      <c r="H143" s="9"/>
      <c r="I143" s="35"/>
      <c r="J143" s="33"/>
      <c r="K143" s="33"/>
      <c r="M143" s="24"/>
      <c r="O143" s="25"/>
    </row>
    <row r="144" spans="1:15" x14ac:dyDescent="0.25">
      <c r="A144" s="29"/>
      <c r="B144" s="29"/>
      <c r="C144" s="29"/>
      <c r="D144" s="8"/>
      <c r="E144" s="34"/>
      <c r="F144" s="31"/>
      <c r="G144" s="31"/>
      <c r="H144" s="9"/>
      <c r="I144" s="35"/>
      <c r="J144" s="33"/>
      <c r="K144" s="33"/>
      <c r="M144" s="24"/>
      <c r="O144" s="25"/>
    </row>
    <row r="145" spans="1:15" x14ac:dyDescent="0.25">
      <c r="A145" s="29"/>
      <c r="B145" s="29"/>
      <c r="C145" s="29"/>
      <c r="D145" s="8"/>
      <c r="E145" s="34"/>
      <c r="F145" s="31"/>
      <c r="G145" s="31"/>
      <c r="H145" s="9"/>
      <c r="I145" s="35"/>
      <c r="J145" s="33"/>
      <c r="K145" s="33"/>
      <c r="M145" s="24"/>
      <c r="O145" s="25"/>
    </row>
    <row r="146" spans="1:15" x14ac:dyDescent="0.25">
      <c r="A146" s="29"/>
      <c r="B146" s="29"/>
      <c r="C146" s="29"/>
      <c r="D146" s="8"/>
      <c r="E146" s="34"/>
      <c r="F146" s="31"/>
      <c r="G146" s="31"/>
      <c r="H146" s="9"/>
      <c r="I146" s="35"/>
      <c r="J146" s="33"/>
      <c r="K146" s="33"/>
      <c r="M146" s="24"/>
      <c r="O146" s="25"/>
    </row>
    <row r="147" spans="1:15" x14ac:dyDescent="0.25">
      <c r="A147" s="29"/>
      <c r="B147" s="29"/>
      <c r="C147" s="29"/>
      <c r="D147" s="8"/>
      <c r="E147" s="34"/>
      <c r="F147" s="31"/>
      <c r="G147" s="31"/>
      <c r="H147" s="9"/>
      <c r="I147" s="35"/>
      <c r="J147" s="33"/>
      <c r="K147" s="33"/>
      <c r="M147" s="24"/>
      <c r="O147" s="25"/>
    </row>
    <row r="148" spans="1:15" x14ac:dyDescent="0.25">
      <c r="A148" s="29"/>
      <c r="B148" s="29"/>
      <c r="C148" s="29"/>
      <c r="D148" s="8"/>
      <c r="E148" s="34"/>
      <c r="F148" s="31"/>
      <c r="G148" s="31"/>
      <c r="H148" s="9"/>
      <c r="I148" s="35"/>
      <c r="J148" s="33"/>
      <c r="K148" s="33"/>
      <c r="M148" s="24"/>
      <c r="O148" s="25"/>
    </row>
    <row r="149" spans="1:15" x14ac:dyDescent="0.25">
      <c r="A149" s="29"/>
      <c r="B149" s="29"/>
      <c r="C149" s="29"/>
      <c r="D149" s="8"/>
      <c r="E149" s="34"/>
      <c r="F149" s="31"/>
      <c r="G149" s="31"/>
      <c r="H149" s="9"/>
      <c r="I149" s="35"/>
      <c r="J149" s="33"/>
      <c r="K149" s="33"/>
      <c r="M149" s="24"/>
      <c r="O149" s="25"/>
    </row>
    <row r="150" spans="1:15" x14ac:dyDescent="0.25">
      <c r="A150" s="29"/>
      <c r="B150" s="29"/>
      <c r="C150" s="29"/>
      <c r="D150" s="8"/>
      <c r="E150" s="34"/>
      <c r="F150" s="31"/>
      <c r="G150" s="31"/>
      <c r="H150" s="9"/>
      <c r="I150" s="35"/>
      <c r="J150" s="33"/>
      <c r="K150" s="33"/>
      <c r="M150" s="24"/>
      <c r="O150" s="25"/>
    </row>
    <row r="151" spans="1:15" x14ac:dyDescent="0.25">
      <c r="A151" s="29"/>
      <c r="B151" s="29"/>
      <c r="C151" s="29"/>
      <c r="D151" s="8"/>
      <c r="E151" s="34"/>
      <c r="F151" s="31"/>
      <c r="G151" s="31"/>
      <c r="H151" s="9"/>
      <c r="I151" s="35"/>
      <c r="J151" s="33"/>
      <c r="K151" s="33"/>
      <c r="M151" s="24"/>
      <c r="O151" s="25"/>
    </row>
    <row r="152" spans="1:15" x14ac:dyDescent="0.25">
      <c r="A152" s="29"/>
      <c r="B152" s="29"/>
      <c r="C152" s="29"/>
      <c r="D152" s="8"/>
      <c r="E152" s="34"/>
      <c r="F152" s="31"/>
      <c r="G152" s="31"/>
      <c r="H152" s="9"/>
      <c r="I152" s="35"/>
      <c r="J152" s="33"/>
      <c r="K152" s="33"/>
      <c r="M152" s="24"/>
      <c r="O152" s="25"/>
    </row>
    <row r="153" spans="1:15" x14ac:dyDescent="0.25">
      <c r="A153" s="29"/>
      <c r="B153" s="29"/>
      <c r="C153" s="29"/>
      <c r="D153" s="8"/>
      <c r="E153" s="34"/>
      <c r="F153" s="31"/>
      <c r="G153" s="31"/>
      <c r="H153" s="9"/>
      <c r="I153" s="35"/>
      <c r="J153" s="33"/>
      <c r="K153" s="33"/>
      <c r="M153" s="24"/>
      <c r="O153" s="25"/>
    </row>
    <row r="154" spans="1:15" x14ac:dyDescent="0.25">
      <c r="A154" s="29"/>
      <c r="B154" s="29"/>
      <c r="C154" s="29"/>
      <c r="D154" s="8"/>
      <c r="E154" s="34"/>
      <c r="F154" s="31"/>
      <c r="G154" s="31"/>
      <c r="H154" s="9"/>
      <c r="I154" s="35"/>
      <c r="J154" s="33"/>
      <c r="K154" s="33"/>
      <c r="M154" s="24"/>
      <c r="O154" s="25"/>
    </row>
    <row r="155" spans="1:15" x14ac:dyDescent="0.25">
      <c r="A155" s="29"/>
      <c r="B155" s="29"/>
      <c r="C155" s="29"/>
      <c r="D155" s="8"/>
      <c r="E155" s="34"/>
      <c r="F155" s="31"/>
      <c r="G155" s="31"/>
      <c r="H155" s="9"/>
      <c r="I155" s="35"/>
      <c r="J155" s="33"/>
      <c r="K155" s="33"/>
      <c r="M155" s="24"/>
      <c r="O155" s="25"/>
    </row>
    <row r="156" spans="1:15" x14ac:dyDescent="0.25">
      <c r="A156" s="29"/>
      <c r="B156" s="29"/>
      <c r="C156" s="29"/>
      <c r="D156" s="8"/>
      <c r="E156" s="34"/>
      <c r="F156" s="31"/>
      <c r="G156" s="31"/>
      <c r="H156" s="9"/>
      <c r="I156" s="35"/>
      <c r="J156" s="33"/>
      <c r="K156" s="33"/>
      <c r="M156" s="24"/>
      <c r="O156" s="25"/>
    </row>
    <row r="157" spans="1:15" x14ac:dyDescent="0.25">
      <c r="A157" s="29"/>
      <c r="B157" s="29"/>
      <c r="C157" s="29"/>
      <c r="D157" s="8"/>
      <c r="E157" s="34"/>
      <c r="F157" s="31"/>
      <c r="G157" s="31"/>
      <c r="H157" s="9"/>
      <c r="I157" s="35"/>
      <c r="J157" s="33"/>
      <c r="K157" s="33"/>
      <c r="M157" s="24"/>
      <c r="O157" s="25"/>
    </row>
    <row r="158" spans="1:15" x14ac:dyDescent="0.25">
      <c r="A158" s="29"/>
      <c r="B158" s="29"/>
      <c r="C158" s="29"/>
      <c r="D158" s="8"/>
      <c r="E158" s="34"/>
      <c r="F158" s="31"/>
      <c r="G158" s="31"/>
      <c r="H158" s="9"/>
      <c r="I158" s="35"/>
      <c r="J158" s="33"/>
      <c r="K158" s="33"/>
      <c r="M158" s="24"/>
      <c r="O158" s="25"/>
    </row>
    <row r="159" spans="1:15" x14ac:dyDescent="0.25">
      <c r="A159" s="29"/>
      <c r="B159" s="29"/>
      <c r="C159" s="29"/>
      <c r="D159" s="8"/>
      <c r="E159" s="34"/>
      <c r="F159" s="31"/>
      <c r="G159" s="31"/>
      <c r="H159" s="9"/>
      <c r="I159" s="35"/>
      <c r="J159" s="33"/>
      <c r="K159" s="33"/>
      <c r="M159" s="24"/>
      <c r="O159" s="25"/>
    </row>
    <row r="160" spans="1:15" x14ac:dyDescent="0.25">
      <c r="A160" s="29"/>
      <c r="B160" s="29"/>
      <c r="C160" s="29"/>
      <c r="D160" s="8"/>
      <c r="E160" s="34"/>
      <c r="F160" s="31"/>
      <c r="G160" s="31"/>
      <c r="H160" s="9"/>
      <c r="I160" s="35"/>
      <c r="J160" s="33"/>
      <c r="K160" s="33"/>
      <c r="M160" s="24"/>
      <c r="O160" s="25"/>
    </row>
    <row r="161" spans="1:15" x14ac:dyDescent="0.25">
      <c r="A161" s="29"/>
      <c r="B161" s="29"/>
      <c r="C161" s="29"/>
      <c r="D161" s="8"/>
      <c r="E161" s="34"/>
      <c r="F161" s="31"/>
      <c r="G161" s="31"/>
      <c r="H161" s="9"/>
      <c r="I161" s="35"/>
      <c r="J161" s="33"/>
      <c r="K161" s="33"/>
      <c r="M161" s="24"/>
      <c r="O161" s="25"/>
    </row>
    <row r="162" spans="1:15" x14ac:dyDescent="0.25">
      <c r="A162" s="29"/>
      <c r="B162" s="29"/>
      <c r="C162" s="29"/>
      <c r="D162" s="8"/>
      <c r="E162" s="34"/>
      <c r="F162" s="31"/>
      <c r="G162" s="31"/>
      <c r="H162" s="9"/>
      <c r="I162" s="35"/>
      <c r="J162" s="33"/>
      <c r="K162" s="33"/>
      <c r="M162" s="24"/>
      <c r="O162" s="25"/>
    </row>
    <row r="163" spans="1:15" x14ac:dyDescent="0.25">
      <c r="A163" s="29"/>
      <c r="B163" s="29"/>
      <c r="C163" s="29"/>
      <c r="D163" s="8"/>
      <c r="E163" s="34"/>
      <c r="F163" s="31"/>
      <c r="G163" s="31"/>
      <c r="H163" s="9"/>
      <c r="I163" s="35"/>
      <c r="J163" s="33"/>
      <c r="K163" s="33"/>
      <c r="M163" s="24"/>
      <c r="O163" s="25"/>
    </row>
    <row r="164" spans="1:15" x14ac:dyDescent="0.25">
      <c r="A164" s="29"/>
      <c r="B164" s="29"/>
      <c r="C164" s="29"/>
      <c r="D164" s="8"/>
      <c r="E164" s="34"/>
      <c r="F164" s="31"/>
      <c r="G164" s="31"/>
      <c r="H164" s="9"/>
      <c r="I164" s="35"/>
      <c r="J164" s="33"/>
      <c r="K164" s="33"/>
      <c r="M164" s="24"/>
      <c r="O164" s="25"/>
    </row>
    <row r="165" spans="1:15" x14ac:dyDescent="0.25">
      <c r="A165" s="29"/>
      <c r="B165" s="29"/>
      <c r="C165" s="29"/>
      <c r="D165" s="8"/>
      <c r="E165" s="34"/>
      <c r="F165" s="31"/>
      <c r="G165" s="31"/>
      <c r="H165" s="9"/>
      <c r="I165" s="35"/>
      <c r="J165" s="33"/>
      <c r="K165" s="33"/>
      <c r="M165" s="24"/>
      <c r="O165" s="25"/>
    </row>
    <row r="166" spans="1:15" x14ac:dyDescent="0.25">
      <c r="A166" s="29"/>
      <c r="B166" s="29"/>
      <c r="C166" s="29"/>
      <c r="D166" s="8"/>
      <c r="E166" s="34"/>
      <c r="F166" s="31"/>
      <c r="G166" s="31"/>
      <c r="H166" s="9"/>
      <c r="I166" s="35"/>
      <c r="J166" s="33"/>
      <c r="K166" s="33"/>
      <c r="M166" s="24"/>
      <c r="O166" s="25"/>
    </row>
    <row r="167" spans="1:15" x14ac:dyDescent="0.25">
      <c r="A167" s="29"/>
      <c r="B167" s="29"/>
      <c r="C167" s="29"/>
      <c r="D167" s="8"/>
      <c r="E167" s="34"/>
      <c r="F167" s="31"/>
      <c r="G167" s="31"/>
      <c r="H167" s="9"/>
      <c r="I167" s="35"/>
      <c r="J167" s="33"/>
      <c r="K167" s="33"/>
      <c r="M167" s="24"/>
      <c r="O167" s="25"/>
    </row>
    <row r="168" spans="1:15" x14ac:dyDescent="0.25">
      <c r="A168" s="29"/>
      <c r="B168" s="29"/>
      <c r="C168" s="29"/>
      <c r="D168" s="8"/>
      <c r="E168" s="34"/>
      <c r="F168" s="31"/>
      <c r="G168" s="31"/>
      <c r="H168" s="9"/>
      <c r="I168" s="35"/>
      <c r="J168" s="33"/>
      <c r="K168" s="33"/>
      <c r="M168" s="24"/>
      <c r="O168" s="25"/>
    </row>
    <row r="169" spans="1:15" x14ac:dyDescent="0.25">
      <c r="A169" s="29"/>
      <c r="B169" s="29"/>
      <c r="C169" s="29"/>
      <c r="D169" s="8"/>
      <c r="E169" s="34"/>
      <c r="F169" s="31"/>
      <c r="G169" s="31"/>
      <c r="H169" s="9"/>
      <c r="I169" s="35"/>
      <c r="J169" s="33"/>
      <c r="K169" s="33"/>
      <c r="M169" s="24"/>
      <c r="O169" s="25"/>
    </row>
    <row r="170" spans="1:15" x14ac:dyDescent="0.25">
      <c r="A170" s="29"/>
      <c r="B170" s="29"/>
      <c r="C170" s="29"/>
      <c r="D170" s="8"/>
      <c r="E170" s="34"/>
      <c r="F170" s="31"/>
      <c r="G170" s="31"/>
      <c r="H170" s="9"/>
      <c r="I170" s="35"/>
      <c r="J170" s="33"/>
      <c r="K170" s="33"/>
      <c r="M170" s="24"/>
      <c r="O170" s="25"/>
    </row>
    <row r="171" spans="1:15" x14ac:dyDescent="0.25">
      <c r="A171" s="29"/>
      <c r="B171" s="29"/>
      <c r="C171" s="29"/>
      <c r="D171" s="8"/>
      <c r="E171" s="34"/>
      <c r="F171" s="31"/>
      <c r="G171" s="31"/>
      <c r="H171" s="9"/>
      <c r="I171" s="35"/>
      <c r="J171" s="33"/>
      <c r="K171" s="33"/>
      <c r="M171" s="24"/>
      <c r="O171" s="25"/>
    </row>
    <row r="172" spans="1:15" x14ac:dyDescent="0.25">
      <c r="A172" s="29"/>
      <c r="B172" s="29"/>
      <c r="C172" s="29"/>
      <c r="D172" s="8"/>
      <c r="E172" s="34"/>
      <c r="F172" s="31"/>
      <c r="G172" s="31"/>
      <c r="H172" s="9"/>
      <c r="I172" s="35"/>
      <c r="J172" s="33"/>
      <c r="K172" s="33"/>
      <c r="M172" s="24"/>
      <c r="O172" s="25"/>
    </row>
    <row r="173" spans="1:15" x14ac:dyDescent="0.25">
      <c r="A173" s="29"/>
      <c r="B173" s="29"/>
      <c r="C173" s="29"/>
      <c r="D173" s="8"/>
      <c r="E173" s="34"/>
      <c r="F173" s="31"/>
      <c r="G173" s="31"/>
      <c r="H173" s="9"/>
      <c r="I173" s="35"/>
      <c r="J173" s="33"/>
      <c r="K173" s="33"/>
      <c r="M173" s="24"/>
      <c r="O173" s="25"/>
    </row>
    <row r="174" spans="1:15" x14ac:dyDescent="0.25">
      <c r="A174" s="29"/>
      <c r="B174" s="29"/>
      <c r="C174" s="29"/>
      <c r="D174" s="8"/>
      <c r="E174" s="34"/>
      <c r="F174" s="31"/>
      <c r="G174" s="31"/>
      <c r="H174" s="9"/>
      <c r="I174" s="35"/>
      <c r="J174" s="33"/>
      <c r="K174" s="33"/>
      <c r="M174" s="24"/>
      <c r="O174" s="25"/>
    </row>
    <row r="175" spans="1:15" x14ac:dyDescent="0.25">
      <c r="A175" s="29"/>
      <c r="B175" s="29"/>
      <c r="C175" s="29"/>
      <c r="D175" s="8"/>
      <c r="E175" s="34"/>
      <c r="F175" s="31"/>
      <c r="G175" s="31"/>
      <c r="H175" s="9"/>
      <c r="I175" s="35"/>
      <c r="J175" s="33"/>
      <c r="K175" s="33"/>
      <c r="M175" s="24"/>
      <c r="O175" s="25"/>
    </row>
    <row r="176" spans="1:15" x14ac:dyDescent="0.25">
      <c r="A176" s="29"/>
      <c r="B176" s="29"/>
      <c r="C176" s="29"/>
      <c r="D176" s="8"/>
      <c r="E176" s="34"/>
      <c r="F176" s="31"/>
      <c r="G176" s="31"/>
      <c r="H176" s="9"/>
      <c r="I176" s="35"/>
      <c r="J176" s="33"/>
      <c r="K176" s="33"/>
      <c r="M176" s="24"/>
      <c r="O176" s="25"/>
    </row>
    <row r="177" spans="1:15" x14ac:dyDescent="0.25">
      <c r="A177" s="29"/>
      <c r="B177" s="29"/>
      <c r="C177" s="29"/>
      <c r="D177" s="8"/>
      <c r="E177" s="34"/>
      <c r="F177" s="31"/>
      <c r="G177" s="31"/>
      <c r="H177" s="9"/>
      <c r="I177" s="35"/>
      <c r="J177" s="33"/>
      <c r="K177" s="33"/>
      <c r="M177" s="24"/>
      <c r="O177" s="25"/>
    </row>
    <row r="178" spans="1:15" x14ac:dyDescent="0.25">
      <c r="A178" s="29"/>
      <c r="B178" s="29"/>
      <c r="C178" s="29"/>
      <c r="D178" s="8"/>
      <c r="E178" s="34"/>
      <c r="F178" s="31"/>
      <c r="G178" s="31"/>
      <c r="H178" s="9"/>
      <c r="I178" s="35"/>
      <c r="J178" s="33"/>
      <c r="K178" s="33"/>
      <c r="M178" s="24"/>
      <c r="O178" s="25"/>
    </row>
    <row r="179" spans="1:15" x14ac:dyDescent="0.25">
      <c r="A179" s="29"/>
      <c r="B179" s="29"/>
      <c r="C179" s="29"/>
      <c r="D179" s="8"/>
      <c r="E179" s="34"/>
      <c r="F179" s="31"/>
      <c r="G179" s="31"/>
      <c r="H179" s="9"/>
      <c r="I179" s="35"/>
      <c r="J179" s="33"/>
      <c r="K179" s="33"/>
      <c r="M179" s="24"/>
      <c r="O179" s="25"/>
    </row>
    <row r="180" spans="1:15" x14ac:dyDescent="0.25">
      <c r="A180" s="29"/>
      <c r="B180" s="29"/>
      <c r="C180" s="29"/>
      <c r="D180" s="8"/>
      <c r="E180" s="34"/>
      <c r="F180" s="31"/>
      <c r="G180" s="31"/>
      <c r="H180" s="9"/>
      <c r="I180" s="35"/>
      <c r="J180" s="33"/>
      <c r="K180" s="33"/>
      <c r="M180" s="24"/>
      <c r="O180" s="25"/>
    </row>
    <row r="181" spans="1:15" x14ac:dyDescent="0.25">
      <c r="A181" s="29"/>
      <c r="B181" s="29"/>
      <c r="C181" s="29"/>
      <c r="D181" s="8"/>
      <c r="E181" s="34"/>
      <c r="F181" s="31"/>
      <c r="G181" s="31"/>
      <c r="H181" s="9"/>
      <c r="I181" s="35"/>
      <c r="J181" s="33"/>
      <c r="K181" s="33"/>
      <c r="M181" s="24"/>
      <c r="O181" s="25"/>
    </row>
    <row r="182" spans="1:15" x14ac:dyDescent="0.25">
      <c r="A182" s="29"/>
      <c r="B182" s="29"/>
      <c r="C182" s="29"/>
      <c r="D182" s="8"/>
      <c r="E182" s="34"/>
      <c r="F182" s="31"/>
      <c r="G182" s="31"/>
      <c r="H182" s="9"/>
      <c r="I182" s="35"/>
      <c r="J182" s="33"/>
      <c r="K182" s="33"/>
      <c r="M182" s="24"/>
      <c r="O182" s="25"/>
    </row>
    <row r="183" spans="1:15" x14ac:dyDescent="0.25">
      <c r="A183" s="29"/>
      <c r="B183" s="29"/>
      <c r="C183" s="29"/>
      <c r="D183" s="8"/>
      <c r="E183" s="34"/>
      <c r="F183" s="31"/>
      <c r="G183" s="31"/>
      <c r="H183" s="9"/>
      <c r="I183" s="35"/>
      <c r="J183" s="33"/>
      <c r="K183" s="33"/>
      <c r="M183" s="24"/>
      <c r="O183" s="25"/>
    </row>
    <row r="184" spans="1:15" x14ac:dyDescent="0.25">
      <c r="A184" s="29"/>
      <c r="B184" s="29"/>
      <c r="C184" s="29"/>
      <c r="D184" s="8"/>
      <c r="E184" s="34"/>
      <c r="F184" s="31"/>
      <c r="G184" s="31"/>
      <c r="H184" s="9"/>
      <c r="I184" s="35"/>
      <c r="J184" s="33"/>
      <c r="K184" s="33"/>
      <c r="M184" s="24"/>
      <c r="O184" s="25"/>
    </row>
  </sheetData>
  <sortState ref="A4:I34">
    <sortCondition ref="B4:B34"/>
  </sortState>
  <mergeCells count="4">
    <mergeCell ref="D1:G1"/>
    <mergeCell ref="H1:K1"/>
    <mergeCell ref="F2:G2"/>
    <mergeCell ref="J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7</xdr:row>
                    <xdr:rowOff>85725</xdr:rowOff>
                  </from>
                  <to>
                    <xdr:col>18</xdr:col>
                    <xdr:colOff>542925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7</xdr:row>
                    <xdr:rowOff>85725</xdr:rowOff>
                  </from>
                  <to>
                    <xdr:col>18</xdr:col>
                    <xdr:colOff>542925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lačidlo1_Kliknúť">
                <anchor moveWithCells="1">
                  <from>
                    <xdr:col>16</xdr:col>
                    <xdr:colOff>209550</xdr:colOff>
                    <xdr:row>1</xdr:row>
                    <xdr:rowOff>228600</xdr:rowOff>
                  </from>
                  <to>
                    <xdr:col>19</xdr:col>
                    <xdr:colOff>276225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Tlačidlo2_Kliknúť">
                <anchor moveWithCells="1">
                  <from>
                    <xdr:col>16</xdr:col>
                    <xdr:colOff>228600</xdr:colOff>
                    <xdr:row>4</xdr:row>
                    <xdr:rowOff>19050</xdr:rowOff>
                  </from>
                  <to>
                    <xdr:col>19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3"/>
  <dimension ref="A1:AM186"/>
  <sheetViews>
    <sheetView workbookViewId="0">
      <selection activeCell="M40" sqref="M40"/>
    </sheetView>
  </sheetViews>
  <sheetFormatPr defaultRowHeight="15" x14ac:dyDescent="0.25"/>
  <cols>
    <col min="1" max="1" width="26.140625" style="3" customWidth="1"/>
    <col min="2" max="2" width="16.5703125" style="3" customWidth="1"/>
    <col min="3" max="3" width="13.85546875" style="3" customWidth="1"/>
    <col min="4" max="4" width="12.5703125" style="10" customWidth="1"/>
    <col min="5" max="5" width="12.5703125" style="30" customWidth="1"/>
    <col min="6" max="6" width="9.42578125" style="18" customWidth="1"/>
    <col min="7" max="7" width="10.5703125" style="18" customWidth="1"/>
    <col min="8" max="8" width="12.5703125" style="11" customWidth="1"/>
    <col min="9" max="9" width="12.5703125" style="32" customWidth="1"/>
    <col min="10" max="10" width="10.28515625" style="21" customWidth="1"/>
    <col min="11" max="11" width="10.42578125" style="21" customWidth="1"/>
    <col min="12" max="12" width="9.140625" style="3"/>
    <col min="13" max="13" width="16" style="22" customWidth="1"/>
    <col min="14" max="14" width="9.140625" style="3"/>
    <col min="15" max="15" width="16.7109375" style="23" customWidth="1"/>
    <col min="16" max="16384" width="9.140625" style="3"/>
  </cols>
  <sheetData>
    <row r="1" spans="1:39" ht="22.5" customHeight="1" x14ac:dyDescent="0.3">
      <c r="A1" s="2" t="s">
        <v>12</v>
      </c>
      <c r="B1" s="2" t="s">
        <v>9</v>
      </c>
      <c r="C1" s="2" t="s">
        <v>8</v>
      </c>
      <c r="D1" s="87" t="s">
        <v>6</v>
      </c>
      <c r="E1" s="87"/>
      <c r="F1" s="87"/>
      <c r="G1" s="87"/>
      <c r="H1" s="84" t="s">
        <v>7</v>
      </c>
      <c r="I1" s="85"/>
      <c r="J1" s="85"/>
      <c r="K1" s="86"/>
      <c r="M1" s="26" t="s">
        <v>10</v>
      </c>
      <c r="O1" s="27" t="s">
        <v>11</v>
      </c>
    </row>
    <row r="2" spans="1:39" ht="22.5" customHeight="1" x14ac:dyDescent="0.3">
      <c r="A2" s="2"/>
      <c r="B2" s="4"/>
      <c r="C2" s="4"/>
      <c r="D2" s="5" t="s">
        <v>2</v>
      </c>
      <c r="E2" s="13" t="s">
        <v>0</v>
      </c>
      <c r="F2" s="81" t="s">
        <v>3</v>
      </c>
      <c r="G2" s="81"/>
      <c r="H2" s="6" t="s">
        <v>2</v>
      </c>
      <c r="I2" s="14" t="s">
        <v>1</v>
      </c>
      <c r="J2" s="82" t="s">
        <v>3</v>
      </c>
      <c r="K2" s="83"/>
      <c r="M2" s="24"/>
      <c r="N2"/>
      <c r="O2" s="25"/>
    </row>
    <row r="3" spans="1:39" ht="22.5" customHeight="1" x14ac:dyDescent="0.3">
      <c r="A3" s="2"/>
      <c r="B3" s="4"/>
      <c r="C3" s="4"/>
      <c r="D3" s="5"/>
      <c r="E3" s="13"/>
      <c r="F3" s="78" t="s">
        <v>4</v>
      </c>
      <c r="G3" s="78" t="s">
        <v>5</v>
      </c>
      <c r="H3" s="6"/>
      <c r="I3" s="14"/>
      <c r="J3" s="19" t="s">
        <v>4</v>
      </c>
      <c r="K3" s="19" t="s">
        <v>5</v>
      </c>
      <c r="M3" s="24"/>
      <c r="N3"/>
      <c r="O3" s="25"/>
    </row>
    <row r="4" spans="1:39" x14ac:dyDescent="0.25">
      <c r="A4" s="29">
        <v>1020940</v>
      </c>
      <c r="B4" s="29">
        <v>0.4</v>
      </c>
      <c r="C4" s="29">
        <v>665</v>
      </c>
      <c r="D4" s="8">
        <v>-0.8</v>
      </c>
      <c r="E4" s="34">
        <v>-0.8</v>
      </c>
      <c r="F4" s="31">
        <v>-2.2000000000000002</v>
      </c>
      <c r="G4" s="31">
        <v>-1.3</v>
      </c>
      <c r="H4" s="9">
        <v>0</v>
      </c>
      <c r="I4" s="35">
        <v>-0.1</v>
      </c>
      <c r="J4" s="33">
        <v>-0.2</v>
      </c>
      <c r="K4" s="33">
        <v>0.45</v>
      </c>
      <c r="M4" s="24"/>
      <c r="O4" s="25"/>
    </row>
    <row r="5" spans="1:39" x14ac:dyDescent="0.25">
      <c r="A5" s="29">
        <v>1020950</v>
      </c>
      <c r="B5" s="29">
        <v>0.4</v>
      </c>
      <c r="C5" s="29">
        <v>658</v>
      </c>
      <c r="D5" s="8">
        <v>-0.8</v>
      </c>
      <c r="E5" s="34">
        <v>-0.8</v>
      </c>
      <c r="F5" s="31">
        <v>-2.2000000000000002</v>
      </c>
      <c r="G5" s="31">
        <v>-1.3</v>
      </c>
      <c r="H5" s="9">
        <v>0</v>
      </c>
      <c r="I5" s="35">
        <v>-0.1</v>
      </c>
      <c r="J5" s="33">
        <v>-0.2</v>
      </c>
      <c r="K5" s="33">
        <v>0.45</v>
      </c>
      <c r="M5" s="24"/>
      <c r="O5" s="25"/>
    </row>
    <row r="6" spans="1:39" x14ac:dyDescent="0.25">
      <c r="A6" s="29">
        <v>1020884</v>
      </c>
      <c r="B6" s="29">
        <v>0.8</v>
      </c>
      <c r="C6" s="29">
        <v>445</v>
      </c>
      <c r="D6" s="8">
        <v>-1</v>
      </c>
      <c r="E6" s="34">
        <v>-0.99</v>
      </c>
      <c r="F6" s="31">
        <v>-1.8</v>
      </c>
      <c r="G6" s="31">
        <v>-0.9</v>
      </c>
      <c r="H6" s="9">
        <v>0.8</v>
      </c>
      <c r="I6" s="35">
        <v>0.8</v>
      </c>
      <c r="J6" s="33">
        <v>0.2</v>
      </c>
      <c r="K6" s="33">
        <v>0.8</v>
      </c>
      <c r="M6" s="24"/>
      <c r="O6" s="25"/>
    </row>
    <row r="7" spans="1:39" x14ac:dyDescent="0.25">
      <c r="A7" s="29">
        <v>1020884</v>
      </c>
      <c r="B7" s="29">
        <v>0.8</v>
      </c>
      <c r="C7" s="29">
        <v>445</v>
      </c>
      <c r="D7" s="8">
        <v>-1</v>
      </c>
      <c r="E7" s="34">
        <v>-0.99</v>
      </c>
      <c r="F7" s="31">
        <v>-1.8</v>
      </c>
      <c r="G7" s="31">
        <v>-0.9</v>
      </c>
      <c r="H7" s="9">
        <v>0.8</v>
      </c>
      <c r="I7" s="55">
        <v>0.8</v>
      </c>
      <c r="J7" s="33">
        <v>0.2</v>
      </c>
      <c r="K7" s="33">
        <v>0.8</v>
      </c>
      <c r="M7" s="24"/>
      <c r="O7" s="25"/>
      <c r="AM7" s="37" t="s">
        <v>23</v>
      </c>
    </row>
    <row r="8" spans="1:39" x14ac:dyDescent="0.25">
      <c r="A8" s="29">
        <v>1020884</v>
      </c>
      <c r="B8" s="29">
        <v>0.8</v>
      </c>
      <c r="C8" s="29">
        <v>445</v>
      </c>
      <c r="D8" s="8">
        <v>-1</v>
      </c>
      <c r="E8" s="34">
        <v>-0.99</v>
      </c>
      <c r="F8" s="31">
        <v>-1.8</v>
      </c>
      <c r="G8" s="31">
        <v>-0.9</v>
      </c>
      <c r="H8" s="9">
        <v>0.8</v>
      </c>
      <c r="I8" s="35">
        <v>0.8</v>
      </c>
      <c r="J8" s="33">
        <v>0.2</v>
      </c>
      <c r="K8" s="33">
        <v>0.8</v>
      </c>
      <c r="M8" s="24"/>
      <c r="O8" s="25"/>
    </row>
    <row r="9" spans="1:39" x14ac:dyDescent="0.25">
      <c r="A9" s="29">
        <v>1020893</v>
      </c>
      <c r="B9" s="29">
        <v>0.9</v>
      </c>
      <c r="C9" s="29">
        <v>1335</v>
      </c>
      <c r="D9" s="8">
        <v>0</v>
      </c>
      <c r="E9" s="34">
        <v>0.01</v>
      </c>
      <c r="F9" s="31">
        <v>-1.6</v>
      </c>
      <c r="G9" s="31">
        <v>-0.5</v>
      </c>
      <c r="H9" s="9">
        <v>0.8</v>
      </c>
      <c r="I9" s="35">
        <v>0.81</v>
      </c>
      <c r="J9" s="33">
        <v>0.4</v>
      </c>
      <c r="K9" s="33">
        <v>0.9</v>
      </c>
      <c r="M9" s="24"/>
      <c r="O9" s="25"/>
    </row>
    <row r="10" spans="1:39" x14ac:dyDescent="0.25">
      <c r="A10" s="29">
        <v>1020893</v>
      </c>
      <c r="B10" s="29">
        <v>0.9</v>
      </c>
      <c r="C10" s="29">
        <v>1335</v>
      </c>
      <c r="D10" s="8">
        <v>0</v>
      </c>
      <c r="E10" s="34">
        <v>0.01</v>
      </c>
      <c r="F10" s="31">
        <v>-1.6</v>
      </c>
      <c r="G10" s="31">
        <v>-0.5</v>
      </c>
      <c r="H10" s="9">
        <v>0.8</v>
      </c>
      <c r="I10" s="35">
        <v>0.81</v>
      </c>
      <c r="J10" s="33">
        <v>0.4</v>
      </c>
      <c r="K10" s="33">
        <v>0.9</v>
      </c>
      <c r="M10" s="24"/>
      <c r="O10" s="25"/>
    </row>
    <row r="11" spans="1:39" x14ac:dyDescent="0.25">
      <c r="A11" s="29">
        <v>1020893</v>
      </c>
      <c r="B11" s="29">
        <v>0.9</v>
      </c>
      <c r="C11" s="29">
        <v>1335</v>
      </c>
      <c r="D11" s="8">
        <v>0</v>
      </c>
      <c r="E11" s="34">
        <v>0.01</v>
      </c>
      <c r="F11" s="31">
        <v>-1.6</v>
      </c>
      <c r="G11" s="31">
        <v>-0.5</v>
      </c>
      <c r="H11" s="9">
        <v>0.8</v>
      </c>
      <c r="I11" s="35">
        <v>0.81</v>
      </c>
      <c r="J11" s="33">
        <v>0.4</v>
      </c>
      <c r="K11" s="33">
        <v>0.9</v>
      </c>
      <c r="M11" s="24"/>
      <c r="O11" s="25"/>
    </row>
    <row r="12" spans="1:39" x14ac:dyDescent="0.25">
      <c r="A12" s="29">
        <v>1020893</v>
      </c>
      <c r="B12" s="29">
        <v>0.9</v>
      </c>
      <c r="C12" s="29">
        <v>1335</v>
      </c>
      <c r="D12" s="8">
        <v>0</v>
      </c>
      <c r="E12" s="34">
        <v>0.01</v>
      </c>
      <c r="F12" s="31">
        <v>-1.6</v>
      </c>
      <c r="G12" s="31">
        <v>-0.5</v>
      </c>
      <c r="H12" s="9">
        <v>0.8</v>
      </c>
      <c r="I12" s="35">
        <v>0.81</v>
      </c>
      <c r="J12" s="33">
        <v>0.4</v>
      </c>
      <c r="K12" s="33">
        <v>0.9</v>
      </c>
      <c r="M12" s="24"/>
      <c r="O12" s="25"/>
    </row>
    <row r="13" spans="1:39" x14ac:dyDescent="0.25">
      <c r="A13" s="29">
        <v>1020893</v>
      </c>
      <c r="B13" s="29">
        <v>0.9</v>
      </c>
      <c r="C13" s="29">
        <v>1335</v>
      </c>
      <c r="D13" s="8">
        <v>0</v>
      </c>
      <c r="E13" s="34">
        <v>0.01</v>
      </c>
      <c r="F13" s="31">
        <v>-1.6</v>
      </c>
      <c r="G13" s="31">
        <v>-0.5</v>
      </c>
      <c r="H13" s="9">
        <v>0.8</v>
      </c>
      <c r="I13" s="35">
        <v>0.81</v>
      </c>
      <c r="J13" s="33">
        <v>0.4</v>
      </c>
      <c r="K13" s="33">
        <v>0.9</v>
      </c>
      <c r="M13" s="24"/>
      <c r="O13" s="25"/>
    </row>
    <row r="14" spans="1:39" x14ac:dyDescent="0.25">
      <c r="A14" s="29">
        <v>1020893</v>
      </c>
      <c r="B14" s="29">
        <v>0.9</v>
      </c>
      <c r="C14" s="29">
        <v>1335</v>
      </c>
      <c r="D14" s="8">
        <v>0</v>
      </c>
      <c r="E14" s="34">
        <v>0.01</v>
      </c>
      <c r="F14" s="31">
        <v>-1.6</v>
      </c>
      <c r="G14" s="31">
        <v>-0.5</v>
      </c>
      <c r="H14" s="9">
        <v>0.8</v>
      </c>
      <c r="I14" s="35">
        <v>0.81</v>
      </c>
      <c r="J14" s="33">
        <v>0.4</v>
      </c>
      <c r="K14" s="33">
        <v>0.9</v>
      </c>
      <c r="M14" s="24"/>
      <c r="O14" s="25"/>
    </row>
    <row r="15" spans="1:39" x14ac:dyDescent="0.25">
      <c r="A15" s="29">
        <v>1020893</v>
      </c>
      <c r="B15" s="29">
        <v>0.9</v>
      </c>
      <c r="C15" s="29">
        <v>1335</v>
      </c>
      <c r="D15" s="8">
        <v>0</v>
      </c>
      <c r="E15" s="34">
        <v>0.01</v>
      </c>
      <c r="F15" s="31">
        <v>-1.6</v>
      </c>
      <c r="G15" s="31">
        <v>-0.5</v>
      </c>
      <c r="H15" s="9">
        <v>0.8</v>
      </c>
      <c r="I15" s="35">
        <v>0.81</v>
      </c>
      <c r="J15" s="33">
        <v>0.4</v>
      </c>
      <c r="K15" s="33">
        <v>0.9</v>
      </c>
      <c r="M15" s="24"/>
      <c r="O15" s="25"/>
    </row>
    <row r="16" spans="1:39" x14ac:dyDescent="0.25">
      <c r="A16" s="29">
        <v>1020893</v>
      </c>
      <c r="B16" s="29">
        <v>0.9</v>
      </c>
      <c r="C16" s="29">
        <v>1335</v>
      </c>
      <c r="D16" s="8">
        <v>0</v>
      </c>
      <c r="E16" s="34">
        <v>0.01</v>
      </c>
      <c r="F16" s="31">
        <v>-1.6</v>
      </c>
      <c r="G16" s="31">
        <v>-0.5</v>
      </c>
      <c r="H16" s="9">
        <v>0.8</v>
      </c>
      <c r="I16" s="35">
        <v>0.81</v>
      </c>
      <c r="J16" s="33">
        <v>0.4</v>
      </c>
      <c r="K16" s="33">
        <v>0.9</v>
      </c>
      <c r="M16" s="24"/>
      <c r="O16" s="25"/>
    </row>
    <row r="17" spans="1:15" x14ac:dyDescent="0.25">
      <c r="A17" s="29">
        <v>1020893</v>
      </c>
      <c r="B17" s="29">
        <v>0.9</v>
      </c>
      <c r="C17" s="29">
        <v>1335</v>
      </c>
      <c r="D17" s="8">
        <v>0</v>
      </c>
      <c r="E17" s="34">
        <v>0.01</v>
      </c>
      <c r="F17" s="31">
        <v>-1.6</v>
      </c>
      <c r="G17" s="31">
        <v>-0.5</v>
      </c>
      <c r="H17" s="9">
        <v>0.8</v>
      </c>
      <c r="I17" s="35">
        <v>0.81</v>
      </c>
      <c r="J17" s="33">
        <v>0.4</v>
      </c>
      <c r="K17" s="33">
        <v>0.9</v>
      </c>
      <c r="M17" s="24"/>
      <c r="O17" s="25"/>
    </row>
    <row r="18" spans="1:15" x14ac:dyDescent="0.25">
      <c r="A18" s="29">
        <v>1020893</v>
      </c>
      <c r="B18" s="29">
        <v>0.9</v>
      </c>
      <c r="C18" s="29">
        <v>1335</v>
      </c>
      <c r="D18" s="8">
        <v>0</v>
      </c>
      <c r="E18" s="34">
        <v>0.01</v>
      </c>
      <c r="F18" s="31">
        <v>-1.6</v>
      </c>
      <c r="G18" s="31">
        <v>-0.5</v>
      </c>
      <c r="H18" s="9">
        <v>0.8</v>
      </c>
      <c r="I18" s="35">
        <v>0.81</v>
      </c>
      <c r="J18" s="33">
        <v>0.4</v>
      </c>
      <c r="K18" s="33">
        <v>0.9</v>
      </c>
      <c r="M18" s="24"/>
      <c r="O18" s="25"/>
    </row>
    <row r="19" spans="1:15" x14ac:dyDescent="0.25">
      <c r="A19" s="29">
        <v>1020893</v>
      </c>
      <c r="B19" s="29">
        <v>0.9</v>
      </c>
      <c r="C19" s="29">
        <v>1335</v>
      </c>
      <c r="D19" s="8">
        <v>0</v>
      </c>
      <c r="E19" s="34">
        <v>0.01</v>
      </c>
      <c r="F19" s="31">
        <v>-1.6</v>
      </c>
      <c r="G19" s="31">
        <v>-0.5</v>
      </c>
      <c r="H19" s="9">
        <v>0.8</v>
      </c>
      <c r="I19" s="35">
        <v>0.81</v>
      </c>
      <c r="J19" s="33">
        <v>0.4</v>
      </c>
      <c r="K19" s="33">
        <v>0.9</v>
      </c>
      <c r="M19" s="24"/>
      <c r="O19" s="25"/>
    </row>
    <row r="20" spans="1:15" x14ac:dyDescent="0.25">
      <c r="A20" s="29">
        <v>1020893</v>
      </c>
      <c r="B20" s="29">
        <v>0.9</v>
      </c>
      <c r="C20" s="29">
        <v>1335</v>
      </c>
      <c r="D20" s="8">
        <v>0</v>
      </c>
      <c r="E20" s="34">
        <v>0</v>
      </c>
      <c r="F20" s="31">
        <v>-1.6</v>
      </c>
      <c r="G20" s="31">
        <v>-0.5</v>
      </c>
      <c r="H20" s="9">
        <v>0.8</v>
      </c>
      <c r="I20" s="35">
        <v>0.81</v>
      </c>
      <c r="J20" s="33">
        <v>0.4</v>
      </c>
      <c r="K20" s="33">
        <v>0.9</v>
      </c>
      <c r="M20" s="24"/>
      <c r="O20" s="25"/>
    </row>
    <row r="21" spans="1:15" x14ac:dyDescent="0.25">
      <c r="A21" s="29">
        <v>1020893</v>
      </c>
      <c r="B21" s="29">
        <v>0.9</v>
      </c>
      <c r="C21" s="29">
        <v>1335</v>
      </c>
      <c r="D21" s="8">
        <v>0</v>
      </c>
      <c r="E21" s="34">
        <v>0</v>
      </c>
      <c r="F21" s="31">
        <v>-1.6</v>
      </c>
      <c r="G21" s="31">
        <v>-0.5</v>
      </c>
      <c r="H21" s="9">
        <v>0.8</v>
      </c>
      <c r="I21" s="35">
        <v>0.81</v>
      </c>
      <c r="J21" s="33">
        <v>0.4</v>
      </c>
      <c r="K21" s="33">
        <v>0.9</v>
      </c>
      <c r="M21" s="24"/>
      <c r="O21" s="25"/>
    </row>
    <row r="22" spans="1:15" x14ac:dyDescent="0.25">
      <c r="A22" s="29">
        <v>1020893</v>
      </c>
      <c r="B22" s="29">
        <v>0.9</v>
      </c>
      <c r="C22" s="29">
        <v>1335</v>
      </c>
      <c r="D22" s="8">
        <v>0</v>
      </c>
      <c r="E22" s="34">
        <v>0</v>
      </c>
      <c r="F22" s="31">
        <v>-1.6</v>
      </c>
      <c r="G22" s="31">
        <v>-0.5</v>
      </c>
      <c r="H22" s="9">
        <v>0.8</v>
      </c>
      <c r="I22" s="35">
        <v>0.81</v>
      </c>
      <c r="J22" s="33">
        <v>0.4</v>
      </c>
      <c r="K22" s="33">
        <v>0.9</v>
      </c>
      <c r="M22" s="24"/>
      <c r="O22" s="25"/>
    </row>
    <row r="23" spans="1:15" x14ac:dyDescent="0.25">
      <c r="A23" s="29">
        <v>1020893</v>
      </c>
      <c r="B23" s="29">
        <v>0.9</v>
      </c>
      <c r="C23" s="29">
        <v>1335</v>
      </c>
      <c r="D23" s="8">
        <v>0</v>
      </c>
      <c r="E23" s="34">
        <v>-0.01</v>
      </c>
      <c r="F23" s="31">
        <v>-1.6</v>
      </c>
      <c r="G23" s="31">
        <v>-0.5</v>
      </c>
      <c r="H23" s="9">
        <v>0.8</v>
      </c>
      <c r="I23" s="35">
        <v>0.79</v>
      </c>
      <c r="J23" s="33">
        <v>0.4</v>
      </c>
      <c r="K23" s="33">
        <v>0.9</v>
      </c>
      <c r="M23" s="24"/>
      <c r="O23" s="25"/>
    </row>
    <row r="24" spans="1:15" x14ac:dyDescent="0.25">
      <c r="A24" s="29">
        <v>1020651</v>
      </c>
      <c r="B24" s="29">
        <v>1.1599999999999999</v>
      </c>
      <c r="C24" s="29">
        <v>435</v>
      </c>
      <c r="D24" s="8">
        <v>-0.8</v>
      </c>
      <c r="E24" s="34">
        <v>-0.79</v>
      </c>
      <c r="F24" s="31">
        <v>-1.2</v>
      </c>
      <c r="G24" s="31">
        <v>-0.3</v>
      </c>
      <c r="H24" s="9">
        <v>1</v>
      </c>
      <c r="I24" s="35">
        <v>1.01</v>
      </c>
      <c r="J24" s="33">
        <v>0.8</v>
      </c>
      <c r="K24" s="33">
        <v>1.3</v>
      </c>
      <c r="M24" s="24"/>
      <c r="O24" s="25"/>
    </row>
    <row r="25" spans="1:15" x14ac:dyDescent="0.25">
      <c r="A25" s="29">
        <v>1020651</v>
      </c>
      <c r="B25" s="29">
        <v>1.1599999999999999</v>
      </c>
      <c r="C25" s="29">
        <v>435</v>
      </c>
      <c r="D25" s="8">
        <v>-0.8</v>
      </c>
      <c r="E25" s="34">
        <v>-0.79</v>
      </c>
      <c r="F25" s="31">
        <v>-1.2</v>
      </c>
      <c r="G25" s="31">
        <v>-0.3</v>
      </c>
      <c r="H25" s="9">
        <v>1</v>
      </c>
      <c r="I25" s="35">
        <v>1.01</v>
      </c>
      <c r="J25" s="33">
        <v>0.8</v>
      </c>
      <c r="K25" s="33">
        <v>1.3</v>
      </c>
      <c r="M25" s="24"/>
      <c r="O25" s="25"/>
    </row>
    <row r="26" spans="1:15" x14ac:dyDescent="0.25">
      <c r="A26" s="29">
        <v>1020682</v>
      </c>
      <c r="B26" s="29">
        <v>1.1599999999999999</v>
      </c>
      <c r="C26" s="29">
        <v>1116</v>
      </c>
      <c r="D26" s="8">
        <v>-1.2</v>
      </c>
      <c r="E26" s="34">
        <v>-1.19</v>
      </c>
      <c r="F26" s="31">
        <v>-1.2</v>
      </c>
      <c r="G26" s="31">
        <v>-0.3</v>
      </c>
      <c r="H26" s="9">
        <v>1.2</v>
      </c>
      <c r="I26" s="35">
        <v>1.19</v>
      </c>
      <c r="J26" s="33">
        <v>0.8</v>
      </c>
      <c r="K26" s="33">
        <v>1.3</v>
      </c>
      <c r="M26" s="24"/>
      <c r="O26" s="25"/>
    </row>
    <row r="27" spans="1:15" x14ac:dyDescent="0.25">
      <c r="A27" s="29">
        <v>1020682</v>
      </c>
      <c r="B27" s="29">
        <v>1.1599999999999999</v>
      </c>
      <c r="C27" s="29">
        <v>1116</v>
      </c>
      <c r="D27" s="8">
        <v>-1.2</v>
      </c>
      <c r="E27" s="34">
        <v>-1.1000000000000001</v>
      </c>
      <c r="F27" s="31">
        <v>-1.2</v>
      </c>
      <c r="G27" s="31">
        <v>-0.3</v>
      </c>
      <c r="H27" s="9">
        <v>1.2</v>
      </c>
      <c r="I27" s="35">
        <v>1.2</v>
      </c>
      <c r="J27" s="33">
        <v>0.8</v>
      </c>
      <c r="K27" s="33">
        <v>1.3</v>
      </c>
      <c r="M27" s="24"/>
      <c r="O27" s="25"/>
    </row>
    <row r="28" spans="1:15" x14ac:dyDescent="0.25">
      <c r="A28" s="29">
        <v>1020682</v>
      </c>
      <c r="B28" s="29">
        <v>1.1599999999999999</v>
      </c>
      <c r="C28" s="29">
        <v>1116</v>
      </c>
      <c r="D28" s="8">
        <v>-1.2</v>
      </c>
      <c r="E28" s="34">
        <v>-1.1000000000000001</v>
      </c>
      <c r="F28" s="31">
        <v>-1.2</v>
      </c>
      <c r="G28" s="31">
        <v>-0.3</v>
      </c>
      <c r="H28" s="9">
        <v>1.2</v>
      </c>
      <c r="I28" s="35">
        <v>1.2</v>
      </c>
      <c r="J28" s="33">
        <v>0.8</v>
      </c>
      <c r="K28" s="33">
        <v>1.3</v>
      </c>
      <c r="M28" s="24"/>
      <c r="O28" s="25"/>
    </row>
    <row r="29" spans="1:15" x14ac:dyDescent="0.25">
      <c r="A29" s="29">
        <v>1017079</v>
      </c>
      <c r="B29" s="29">
        <v>2.5</v>
      </c>
      <c r="C29" s="29">
        <v>535</v>
      </c>
      <c r="D29" s="8">
        <v>1.5</v>
      </c>
      <c r="E29" s="34">
        <v>1.5</v>
      </c>
      <c r="F29" s="31">
        <v>0.3</v>
      </c>
      <c r="G29" s="31">
        <v>1.1000000000000001</v>
      </c>
      <c r="H29" s="9">
        <v>2.7</v>
      </c>
      <c r="I29" s="35">
        <v>3.05</v>
      </c>
      <c r="J29" s="33">
        <v>2</v>
      </c>
      <c r="K29" s="33">
        <v>2.5</v>
      </c>
      <c r="M29" s="24"/>
      <c r="O29" s="25"/>
    </row>
    <row r="30" spans="1:15" x14ac:dyDescent="0.25">
      <c r="A30" s="29"/>
      <c r="B30" s="29"/>
      <c r="C30" s="29"/>
      <c r="D30" s="8"/>
      <c r="E30" s="34"/>
      <c r="F30" s="31"/>
      <c r="G30" s="31"/>
      <c r="H30" s="9"/>
      <c r="I30" s="35"/>
      <c r="J30" s="33"/>
      <c r="K30" s="33"/>
      <c r="M30" s="24"/>
      <c r="O30" s="25"/>
    </row>
    <row r="31" spans="1:15" x14ac:dyDescent="0.25">
      <c r="A31" s="29"/>
      <c r="B31" s="29"/>
      <c r="C31" s="29"/>
      <c r="D31" s="8"/>
      <c r="E31" s="34"/>
      <c r="F31" s="31"/>
      <c r="G31" s="31"/>
      <c r="H31" s="9"/>
      <c r="I31" s="35"/>
      <c r="J31" s="33"/>
      <c r="K31" s="33"/>
      <c r="M31" s="24"/>
      <c r="O31" s="25"/>
    </row>
    <row r="32" spans="1:15" x14ac:dyDescent="0.25">
      <c r="A32" s="29"/>
      <c r="B32" s="29"/>
      <c r="C32" s="29"/>
      <c r="D32" s="8"/>
      <c r="E32" s="34"/>
      <c r="F32" s="31"/>
      <c r="G32" s="31"/>
      <c r="H32" s="9"/>
      <c r="I32" s="35"/>
      <c r="J32" s="33"/>
      <c r="K32" s="33"/>
      <c r="M32" s="24"/>
      <c r="O32" s="25"/>
    </row>
    <row r="33" spans="1:15" x14ac:dyDescent="0.25">
      <c r="A33" s="29"/>
      <c r="B33" s="29"/>
      <c r="C33" s="29"/>
      <c r="D33" s="8"/>
      <c r="E33" s="34"/>
      <c r="F33" s="31"/>
      <c r="G33" s="31"/>
      <c r="H33" s="9"/>
      <c r="I33" s="35"/>
      <c r="J33" s="33"/>
      <c r="K33" s="33"/>
      <c r="M33" s="24"/>
      <c r="O33" s="25"/>
    </row>
    <row r="34" spans="1:15" x14ac:dyDescent="0.25">
      <c r="A34" s="29"/>
      <c r="B34" s="29"/>
      <c r="C34" s="29"/>
      <c r="D34" s="8"/>
      <c r="E34" s="34"/>
      <c r="F34" s="31"/>
      <c r="G34" s="31"/>
      <c r="H34" s="9"/>
      <c r="I34" s="35"/>
      <c r="J34" s="33"/>
      <c r="K34" s="33"/>
      <c r="M34" s="24"/>
      <c r="O34" s="25"/>
    </row>
    <row r="35" spans="1:15" x14ac:dyDescent="0.25">
      <c r="A35" s="29"/>
      <c r="B35" s="29"/>
      <c r="C35" s="29"/>
      <c r="D35" s="8"/>
      <c r="E35" s="34"/>
      <c r="F35" s="31"/>
      <c r="G35" s="31"/>
      <c r="H35" s="9"/>
      <c r="I35" s="35"/>
      <c r="J35" s="33"/>
      <c r="K35" s="33"/>
      <c r="M35" s="24"/>
      <c r="O35" s="25"/>
    </row>
    <row r="36" spans="1:15" x14ac:dyDescent="0.25">
      <c r="A36" s="29"/>
      <c r="B36" s="29"/>
      <c r="C36" s="29"/>
      <c r="D36" s="8"/>
      <c r="E36" s="34"/>
      <c r="F36" s="31"/>
      <c r="G36" s="31"/>
      <c r="H36" s="9"/>
      <c r="I36" s="35"/>
      <c r="J36" s="33"/>
      <c r="K36" s="33"/>
      <c r="M36" s="24"/>
      <c r="O36" s="25"/>
    </row>
    <row r="37" spans="1:15" x14ac:dyDescent="0.25">
      <c r="A37" s="29"/>
      <c r="B37" s="29"/>
      <c r="C37" s="29"/>
      <c r="D37" s="8"/>
      <c r="E37" s="34"/>
      <c r="F37" s="31"/>
      <c r="G37" s="31"/>
      <c r="H37" s="9"/>
      <c r="I37" s="35"/>
      <c r="J37" s="33"/>
      <c r="K37" s="33"/>
      <c r="M37" s="24"/>
      <c r="O37" s="25"/>
    </row>
    <row r="38" spans="1:15" x14ac:dyDescent="0.25">
      <c r="A38" s="29"/>
      <c r="B38" s="29"/>
      <c r="C38" s="29"/>
      <c r="D38" s="8"/>
      <c r="E38" s="34"/>
      <c r="F38" s="31"/>
      <c r="G38" s="31"/>
      <c r="H38" s="9"/>
      <c r="I38" s="35"/>
      <c r="J38" s="33"/>
      <c r="K38" s="33"/>
      <c r="M38" s="24"/>
      <c r="O38" s="25"/>
    </row>
    <row r="39" spans="1:15" x14ac:dyDescent="0.25">
      <c r="A39" s="29"/>
      <c r="B39" s="29"/>
      <c r="C39" s="29"/>
      <c r="D39" s="8"/>
      <c r="E39" s="34"/>
      <c r="F39" s="31"/>
      <c r="G39" s="31"/>
      <c r="H39" s="9"/>
      <c r="I39" s="35"/>
      <c r="J39" s="33"/>
      <c r="K39" s="33"/>
      <c r="M39" s="24"/>
      <c r="O39" s="25"/>
    </row>
    <row r="40" spans="1:15" x14ac:dyDescent="0.25">
      <c r="A40" s="29"/>
      <c r="B40" s="29"/>
      <c r="C40" s="29"/>
      <c r="D40" s="8"/>
      <c r="E40" s="34"/>
      <c r="F40" s="31"/>
      <c r="G40" s="31"/>
      <c r="H40" s="9"/>
      <c r="I40" s="35"/>
      <c r="J40" s="33"/>
      <c r="K40" s="33"/>
      <c r="M40" s="24"/>
      <c r="O40" s="25"/>
    </row>
    <row r="41" spans="1:15" x14ac:dyDescent="0.25">
      <c r="A41" s="29"/>
      <c r="B41" s="29"/>
      <c r="C41" s="29"/>
      <c r="D41" s="8"/>
      <c r="E41" s="34"/>
      <c r="F41" s="31"/>
      <c r="G41" s="31"/>
      <c r="H41" s="9"/>
      <c r="I41" s="35"/>
      <c r="J41" s="33"/>
      <c r="K41" s="33"/>
      <c r="M41" s="24"/>
      <c r="O41" s="25"/>
    </row>
    <row r="42" spans="1:15" x14ac:dyDescent="0.25">
      <c r="A42" s="29"/>
      <c r="B42" s="29"/>
      <c r="C42" s="29"/>
      <c r="D42" s="8"/>
      <c r="E42" s="34"/>
      <c r="F42" s="31"/>
      <c r="G42" s="31"/>
      <c r="H42" s="9"/>
      <c r="I42" s="35"/>
      <c r="J42" s="33"/>
      <c r="K42" s="33"/>
      <c r="M42" s="24"/>
      <c r="O42" s="25"/>
    </row>
    <row r="43" spans="1:15" x14ac:dyDescent="0.25">
      <c r="A43" s="29"/>
      <c r="B43" s="29"/>
      <c r="C43" s="29"/>
      <c r="D43" s="8"/>
      <c r="E43" s="34"/>
      <c r="F43" s="31"/>
      <c r="G43" s="31"/>
      <c r="H43" s="9"/>
      <c r="I43" s="35"/>
      <c r="J43" s="33"/>
      <c r="K43" s="33"/>
      <c r="M43" s="24"/>
      <c r="O43" s="25"/>
    </row>
    <row r="44" spans="1:15" x14ac:dyDescent="0.25">
      <c r="A44" s="29"/>
      <c r="B44" s="29"/>
      <c r="C44" s="29"/>
      <c r="D44" s="8"/>
      <c r="E44" s="34"/>
      <c r="F44" s="31"/>
      <c r="G44" s="31"/>
      <c r="H44" s="9"/>
      <c r="I44" s="35"/>
      <c r="J44" s="33"/>
      <c r="K44" s="33"/>
      <c r="M44" s="24"/>
      <c r="O44" s="25"/>
    </row>
    <row r="45" spans="1:15" x14ac:dyDescent="0.25">
      <c r="A45" s="29"/>
      <c r="B45" s="29"/>
      <c r="C45" s="29"/>
      <c r="D45" s="8"/>
      <c r="E45" s="34"/>
      <c r="F45" s="31"/>
      <c r="G45" s="31"/>
      <c r="H45" s="9"/>
      <c r="I45" s="35"/>
      <c r="J45" s="33"/>
      <c r="K45" s="33"/>
      <c r="M45" s="24"/>
      <c r="O45" s="25"/>
    </row>
    <row r="46" spans="1:15" x14ac:dyDescent="0.25">
      <c r="A46" s="29"/>
      <c r="B46" s="29"/>
      <c r="C46" s="29"/>
      <c r="D46" s="8"/>
      <c r="E46" s="34"/>
      <c r="F46" s="31"/>
      <c r="G46" s="31"/>
      <c r="H46" s="9"/>
      <c r="I46" s="35"/>
      <c r="J46" s="33"/>
      <c r="K46" s="33"/>
      <c r="M46" s="24"/>
      <c r="O46" s="25"/>
    </row>
    <row r="47" spans="1:15" x14ac:dyDescent="0.25">
      <c r="A47" s="29"/>
      <c r="B47" s="29"/>
      <c r="C47" s="29"/>
      <c r="D47" s="8"/>
      <c r="E47" s="34"/>
      <c r="F47" s="31"/>
      <c r="G47" s="31"/>
      <c r="H47" s="9"/>
      <c r="I47" s="35"/>
      <c r="J47" s="33"/>
      <c r="K47" s="33"/>
      <c r="M47" s="24"/>
      <c r="O47" s="25"/>
    </row>
    <row r="48" spans="1:15" x14ac:dyDescent="0.25">
      <c r="A48" s="29"/>
      <c r="B48" s="29"/>
      <c r="C48" s="29"/>
      <c r="D48" s="8"/>
      <c r="E48" s="34"/>
      <c r="F48" s="31"/>
      <c r="G48" s="31"/>
      <c r="H48" s="9"/>
      <c r="I48" s="35"/>
      <c r="J48" s="33"/>
      <c r="K48" s="33"/>
      <c r="M48" s="24"/>
      <c r="O48" s="25"/>
    </row>
    <row r="49" spans="1:15" x14ac:dyDescent="0.25">
      <c r="A49" s="29"/>
      <c r="B49" s="29"/>
      <c r="C49" s="29"/>
      <c r="D49" s="8"/>
      <c r="E49" s="34"/>
      <c r="F49" s="31"/>
      <c r="G49" s="31"/>
      <c r="H49" s="9"/>
      <c r="I49" s="35"/>
      <c r="J49" s="33"/>
      <c r="K49" s="33"/>
      <c r="M49" s="24"/>
      <c r="O49" s="25"/>
    </row>
    <row r="50" spans="1:15" x14ac:dyDescent="0.25">
      <c r="A50" s="29"/>
      <c r="B50" s="29"/>
      <c r="C50" s="29"/>
      <c r="D50" s="8"/>
      <c r="E50" s="34"/>
      <c r="F50" s="31"/>
      <c r="G50" s="31"/>
      <c r="H50" s="9"/>
      <c r="I50" s="35"/>
      <c r="J50" s="33"/>
      <c r="K50" s="33"/>
      <c r="M50" s="24"/>
      <c r="O50" s="25"/>
    </row>
    <row r="51" spans="1:15" x14ac:dyDescent="0.25">
      <c r="A51" s="29"/>
      <c r="B51" s="29"/>
      <c r="C51" s="29"/>
      <c r="D51" s="8"/>
      <c r="E51" s="34"/>
      <c r="F51" s="31"/>
      <c r="G51" s="31"/>
      <c r="H51" s="9"/>
      <c r="I51" s="35"/>
      <c r="J51" s="33"/>
      <c r="K51" s="33"/>
      <c r="M51" s="24"/>
      <c r="O51" s="25"/>
    </row>
    <row r="52" spans="1:15" x14ac:dyDescent="0.25">
      <c r="A52" s="29"/>
      <c r="B52" s="29"/>
      <c r="C52" s="29"/>
      <c r="D52" s="8"/>
      <c r="E52" s="34"/>
      <c r="F52" s="31"/>
      <c r="G52" s="31"/>
      <c r="H52" s="9"/>
      <c r="I52" s="35"/>
      <c r="J52" s="33"/>
      <c r="K52" s="33"/>
      <c r="M52" s="24"/>
      <c r="O52" s="25"/>
    </row>
    <row r="53" spans="1:15" x14ac:dyDescent="0.25">
      <c r="A53" s="29"/>
      <c r="B53" s="29"/>
      <c r="C53" s="29"/>
      <c r="D53" s="8"/>
      <c r="E53" s="34"/>
      <c r="F53" s="31"/>
      <c r="G53" s="31"/>
      <c r="H53" s="9"/>
      <c r="I53" s="35"/>
      <c r="J53" s="33"/>
      <c r="K53" s="33"/>
      <c r="M53" s="24"/>
      <c r="O53" s="25"/>
    </row>
    <row r="54" spans="1:15" x14ac:dyDescent="0.25">
      <c r="A54" s="29"/>
      <c r="B54" s="29"/>
      <c r="C54" s="29"/>
      <c r="D54" s="8"/>
      <c r="E54" s="34"/>
      <c r="F54" s="31"/>
      <c r="G54" s="31"/>
      <c r="H54" s="9"/>
      <c r="I54" s="35"/>
      <c r="J54" s="33"/>
      <c r="K54" s="33"/>
      <c r="M54" s="24"/>
      <c r="O54" s="25"/>
    </row>
    <row r="55" spans="1:15" x14ac:dyDescent="0.25">
      <c r="A55" s="29"/>
      <c r="B55" s="29"/>
      <c r="C55" s="29"/>
      <c r="D55" s="8"/>
      <c r="E55" s="34"/>
      <c r="F55" s="31"/>
      <c r="G55" s="31"/>
      <c r="H55" s="9"/>
      <c r="I55" s="35"/>
      <c r="J55" s="33"/>
      <c r="K55" s="33"/>
      <c r="M55" s="24"/>
      <c r="O55" s="25"/>
    </row>
    <row r="56" spans="1:15" x14ac:dyDescent="0.25">
      <c r="A56" s="29"/>
      <c r="B56" s="29"/>
      <c r="C56" s="29"/>
      <c r="D56" s="8"/>
      <c r="E56" s="34"/>
      <c r="F56" s="31"/>
      <c r="G56" s="31"/>
      <c r="H56" s="9"/>
      <c r="I56" s="35"/>
      <c r="J56" s="33"/>
      <c r="K56" s="33"/>
      <c r="M56" s="24"/>
      <c r="O56" s="25"/>
    </row>
    <row r="57" spans="1:15" x14ac:dyDescent="0.25">
      <c r="A57" s="29"/>
      <c r="B57" s="29"/>
      <c r="C57" s="29"/>
      <c r="D57" s="8"/>
      <c r="E57" s="34"/>
      <c r="F57" s="31"/>
      <c r="G57" s="31"/>
      <c r="H57" s="9"/>
      <c r="I57" s="35"/>
      <c r="J57" s="33"/>
      <c r="K57" s="33"/>
      <c r="M57" s="24"/>
      <c r="O57" s="25"/>
    </row>
    <row r="58" spans="1:15" x14ac:dyDescent="0.25">
      <c r="A58" s="7"/>
      <c r="B58" s="7"/>
      <c r="C58" s="7"/>
      <c r="D58" s="8"/>
      <c r="E58" s="15"/>
      <c r="F58" s="31"/>
      <c r="G58" s="31"/>
      <c r="H58" s="9"/>
      <c r="I58" s="16"/>
      <c r="J58" s="33"/>
      <c r="K58" s="33"/>
      <c r="M58" s="24"/>
      <c r="O58" s="25"/>
    </row>
    <row r="59" spans="1:15" x14ac:dyDescent="0.25">
      <c r="A59" s="7"/>
      <c r="B59" s="7"/>
      <c r="C59" s="7"/>
      <c r="D59" s="8"/>
      <c r="E59" s="15"/>
      <c r="F59" s="31"/>
      <c r="G59" s="31"/>
      <c r="H59" s="9"/>
      <c r="I59" s="16"/>
      <c r="J59" s="33"/>
      <c r="K59" s="33"/>
      <c r="M59" s="24"/>
      <c r="O59" s="25"/>
    </row>
    <row r="60" spans="1:15" x14ac:dyDescent="0.25">
      <c r="A60" s="7"/>
      <c r="B60" s="7"/>
      <c r="C60" s="7"/>
      <c r="D60" s="8"/>
      <c r="E60" s="15"/>
      <c r="F60" s="31"/>
      <c r="G60" s="31"/>
      <c r="H60" s="9"/>
      <c r="I60" s="16"/>
      <c r="J60" s="33"/>
      <c r="K60" s="33"/>
      <c r="M60" s="24"/>
      <c r="O60" s="25"/>
    </row>
    <row r="61" spans="1:15" x14ac:dyDescent="0.25">
      <c r="A61" s="7"/>
      <c r="B61" s="7"/>
      <c r="C61" s="7"/>
      <c r="D61" s="8"/>
      <c r="E61" s="15"/>
      <c r="F61" s="31"/>
      <c r="G61" s="31"/>
      <c r="H61" s="9"/>
      <c r="I61" s="16"/>
      <c r="J61" s="33"/>
      <c r="K61" s="33"/>
      <c r="M61" s="24"/>
      <c r="O61" s="25"/>
    </row>
    <row r="62" spans="1:15" x14ac:dyDescent="0.25">
      <c r="A62" s="7"/>
      <c r="B62" s="7"/>
      <c r="C62" s="7"/>
      <c r="D62" s="8"/>
      <c r="E62" s="15"/>
      <c r="F62" s="31"/>
      <c r="G62" s="31"/>
      <c r="H62" s="9"/>
      <c r="I62" s="16"/>
      <c r="J62" s="33"/>
      <c r="K62" s="33"/>
      <c r="M62" s="24"/>
      <c r="O62" s="25"/>
    </row>
    <row r="63" spans="1:15" x14ac:dyDescent="0.25">
      <c r="A63" s="7"/>
      <c r="B63" s="7"/>
      <c r="C63" s="7"/>
      <c r="D63" s="8"/>
      <c r="E63" s="15"/>
      <c r="F63" s="31"/>
      <c r="G63" s="31"/>
      <c r="H63" s="9"/>
      <c r="I63" s="16"/>
      <c r="J63" s="33"/>
      <c r="K63" s="33"/>
      <c r="M63" s="24"/>
      <c r="O63" s="25"/>
    </row>
    <row r="64" spans="1:15" x14ac:dyDescent="0.25">
      <c r="A64" s="7"/>
      <c r="B64" s="7"/>
      <c r="C64" s="7"/>
      <c r="D64" s="8"/>
      <c r="E64" s="15"/>
      <c r="F64" s="31"/>
      <c r="G64" s="31"/>
      <c r="H64" s="9"/>
      <c r="I64" s="16"/>
      <c r="J64" s="33"/>
      <c r="K64" s="33"/>
      <c r="M64" s="24"/>
      <c r="O64" s="25"/>
    </row>
    <row r="65" spans="1:15" x14ac:dyDescent="0.25">
      <c r="A65" s="29"/>
      <c r="B65" s="29"/>
      <c r="C65" s="29"/>
      <c r="D65" s="8"/>
      <c r="E65" s="34"/>
      <c r="F65" s="31"/>
      <c r="G65" s="31"/>
      <c r="H65" s="9"/>
      <c r="I65" s="35"/>
      <c r="J65" s="33"/>
      <c r="K65" s="33"/>
      <c r="M65" s="24"/>
      <c r="O65" s="25"/>
    </row>
    <row r="66" spans="1:15" x14ac:dyDescent="0.25">
      <c r="A66" s="29"/>
      <c r="B66" s="29"/>
      <c r="C66" s="29"/>
      <c r="D66" s="8"/>
      <c r="E66" s="34"/>
      <c r="F66" s="31"/>
      <c r="G66" s="31"/>
      <c r="H66" s="9"/>
      <c r="I66" s="35"/>
      <c r="J66" s="33"/>
      <c r="K66" s="33"/>
      <c r="M66" s="24"/>
      <c r="O66" s="25"/>
    </row>
    <row r="67" spans="1:15" x14ac:dyDescent="0.25">
      <c r="A67" s="29"/>
      <c r="B67" s="29"/>
      <c r="C67" s="29"/>
      <c r="D67" s="8"/>
      <c r="E67" s="34"/>
      <c r="F67" s="31"/>
      <c r="G67" s="31"/>
      <c r="H67" s="9"/>
      <c r="I67" s="35"/>
      <c r="J67" s="33"/>
      <c r="K67" s="33"/>
      <c r="M67" s="24"/>
      <c r="O67" s="25"/>
    </row>
    <row r="68" spans="1:15" x14ac:dyDescent="0.25">
      <c r="A68" s="29"/>
      <c r="B68" s="29"/>
      <c r="C68" s="29"/>
      <c r="D68" s="8"/>
      <c r="E68" s="34"/>
      <c r="F68" s="31"/>
      <c r="G68" s="31"/>
      <c r="H68" s="9"/>
      <c r="I68" s="35"/>
      <c r="J68" s="33"/>
      <c r="K68" s="33"/>
      <c r="M68" s="24"/>
      <c r="O68" s="25"/>
    </row>
    <row r="69" spans="1:15" x14ac:dyDescent="0.25">
      <c r="A69" s="29"/>
      <c r="B69" s="29"/>
      <c r="C69" s="29"/>
      <c r="D69" s="8"/>
      <c r="E69" s="34"/>
      <c r="F69" s="31"/>
      <c r="G69" s="31"/>
      <c r="H69" s="9"/>
      <c r="I69" s="35"/>
      <c r="J69" s="33"/>
      <c r="K69" s="33"/>
      <c r="M69" s="24"/>
      <c r="O69" s="25"/>
    </row>
    <row r="70" spans="1:15" x14ac:dyDescent="0.25">
      <c r="A70" s="29"/>
      <c r="B70" s="29"/>
      <c r="C70" s="29"/>
      <c r="D70" s="8"/>
      <c r="E70" s="34"/>
      <c r="F70" s="31"/>
      <c r="G70" s="31"/>
      <c r="H70" s="9"/>
      <c r="I70" s="35"/>
      <c r="J70" s="33"/>
      <c r="K70" s="33"/>
      <c r="M70" s="24"/>
      <c r="O70" s="25"/>
    </row>
    <row r="71" spans="1:15" x14ac:dyDescent="0.25">
      <c r="A71" s="29"/>
      <c r="B71" s="29"/>
      <c r="C71" s="29"/>
      <c r="D71" s="8"/>
      <c r="E71" s="34"/>
      <c r="F71" s="31"/>
      <c r="G71" s="31"/>
      <c r="H71" s="9"/>
      <c r="I71" s="35"/>
      <c r="J71" s="33"/>
      <c r="K71" s="33"/>
      <c r="M71" s="24"/>
      <c r="O71" s="25"/>
    </row>
    <row r="72" spans="1:15" x14ac:dyDescent="0.25">
      <c r="A72" s="29"/>
      <c r="B72" s="29"/>
      <c r="C72" s="29"/>
      <c r="D72" s="8"/>
      <c r="E72" s="34"/>
      <c r="F72" s="31"/>
      <c r="G72" s="31"/>
      <c r="H72" s="9"/>
      <c r="I72" s="35"/>
      <c r="J72" s="33"/>
      <c r="K72" s="33"/>
      <c r="M72" s="24"/>
      <c r="O72" s="25"/>
    </row>
    <row r="73" spans="1:15" x14ac:dyDescent="0.25">
      <c r="A73" s="29"/>
      <c r="B73" s="29"/>
      <c r="C73" s="29"/>
      <c r="D73" s="8"/>
      <c r="E73" s="34"/>
      <c r="F73" s="31"/>
      <c r="G73" s="31"/>
      <c r="H73" s="9"/>
      <c r="I73" s="35"/>
      <c r="J73" s="33"/>
      <c r="K73" s="33"/>
      <c r="M73" s="24"/>
      <c r="O73" s="25"/>
    </row>
    <row r="74" spans="1:15" x14ac:dyDescent="0.25">
      <c r="A74" s="29"/>
      <c r="B74" s="29"/>
      <c r="C74" s="29"/>
      <c r="D74" s="8"/>
      <c r="E74" s="34"/>
      <c r="F74" s="31"/>
      <c r="G74" s="31"/>
      <c r="H74" s="9"/>
      <c r="I74" s="35"/>
      <c r="J74" s="33"/>
      <c r="K74" s="33"/>
      <c r="M74" s="24"/>
      <c r="O74" s="25"/>
    </row>
    <row r="75" spans="1:15" x14ac:dyDescent="0.25">
      <c r="A75" s="29"/>
      <c r="B75" s="29"/>
      <c r="C75" s="29"/>
      <c r="D75" s="8"/>
      <c r="E75" s="34"/>
      <c r="F75" s="31"/>
      <c r="G75" s="31"/>
      <c r="H75" s="9"/>
      <c r="I75" s="35"/>
      <c r="J75" s="33"/>
      <c r="K75" s="33"/>
      <c r="M75" s="24"/>
      <c r="O75" s="25"/>
    </row>
    <row r="76" spans="1:15" x14ac:dyDescent="0.25">
      <c r="A76" s="29"/>
      <c r="B76" s="29"/>
      <c r="C76" s="29"/>
      <c r="D76" s="8"/>
      <c r="E76" s="34"/>
      <c r="F76" s="31"/>
      <c r="G76" s="31"/>
      <c r="H76" s="9"/>
      <c r="I76" s="35"/>
      <c r="J76" s="33"/>
      <c r="K76" s="33"/>
      <c r="M76" s="24"/>
      <c r="O76" s="25"/>
    </row>
    <row r="77" spans="1:15" x14ac:dyDescent="0.25">
      <c r="A77" s="29"/>
      <c r="B77" s="29"/>
      <c r="C77" s="29"/>
      <c r="D77" s="8"/>
      <c r="E77" s="34"/>
      <c r="F77" s="31"/>
      <c r="G77" s="31"/>
      <c r="H77" s="9"/>
      <c r="I77" s="35"/>
      <c r="J77" s="33"/>
      <c r="K77" s="33"/>
      <c r="M77" s="24"/>
      <c r="O77" s="25"/>
    </row>
    <row r="78" spans="1:15" x14ac:dyDescent="0.25">
      <c r="A78" s="29"/>
      <c r="B78" s="29"/>
      <c r="C78" s="29"/>
      <c r="D78" s="8"/>
      <c r="E78" s="34"/>
      <c r="F78" s="31"/>
      <c r="G78" s="31"/>
      <c r="H78" s="9"/>
      <c r="I78" s="35"/>
      <c r="J78" s="33"/>
      <c r="K78" s="33"/>
      <c r="M78" s="24"/>
      <c r="O78" s="25"/>
    </row>
    <row r="79" spans="1:15" x14ac:dyDescent="0.25">
      <c r="A79" s="29"/>
      <c r="B79" s="29"/>
      <c r="C79" s="29"/>
      <c r="D79" s="8"/>
      <c r="E79" s="34"/>
      <c r="F79" s="31"/>
      <c r="G79" s="31"/>
      <c r="H79" s="9"/>
      <c r="I79" s="35"/>
      <c r="J79" s="33"/>
      <c r="K79" s="33"/>
      <c r="M79" s="24"/>
      <c r="O79" s="25"/>
    </row>
    <row r="80" spans="1:15" x14ac:dyDescent="0.25">
      <c r="A80" s="29"/>
      <c r="B80" s="29"/>
      <c r="C80" s="29"/>
      <c r="D80" s="8"/>
      <c r="E80" s="34"/>
      <c r="F80" s="31"/>
      <c r="G80" s="31"/>
      <c r="H80" s="9"/>
      <c r="I80" s="35"/>
      <c r="J80" s="33"/>
      <c r="K80" s="33"/>
      <c r="M80" s="24"/>
      <c r="O80" s="25"/>
    </row>
    <row r="81" spans="1:15" x14ac:dyDescent="0.25">
      <c r="A81" s="29"/>
      <c r="B81" s="29"/>
      <c r="C81" s="29"/>
      <c r="D81" s="8"/>
      <c r="E81" s="34"/>
      <c r="F81" s="31"/>
      <c r="G81" s="31"/>
      <c r="H81" s="9"/>
      <c r="I81" s="35"/>
      <c r="J81" s="33"/>
      <c r="K81" s="33"/>
      <c r="M81" s="24"/>
      <c r="O81" s="25"/>
    </row>
    <row r="82" spans="1:15" x14ac:dyDescent="0.25">
      <c r="A82" s="29"/>
      <c r="B82" s="29"/>
      <c r="C82" s="29"/>
      <c r="D82" s="8"/>
      <c r="E82" s="34"/>
      <c r="F82" s="31"/>
      <c r="G82" s="31"/>
      <c r="H82" s="9"/>
      <c r="I82" s="35"/>
      <c r="J82" s="33"/>
      <c r="K82" s="33"/>
      <c r="M82" s="24"/>
      <c r="O82" s="25"/>
    </row>
    <row r="83" spans="1:15" x14ac:dyDescent="0.25">
      <c r="A83" s="29"/>
      <c r="B83" s="29"/>
      <c r="C83" s="29"/>
      <c r="D83" s="8"/>
      <c r="E83" s="34"/>
      <c r="F83" s="31"/>
      <c r="G83" s="31"/>
      <c r="H83" s="9"/>
      <c r="I83" s="35"/>
      <c r="J83" s="33"/>
      <c r="K83" s="33"/>
      <c r="M83" s="24"/>
      <c r="O83" s="25"/>
    </row>
    <row r="84" spans="1:15" x14ac:dyDescent="0.25">
      <c r="A84" s="29"/>
      <c r="B84" s="29"/>
      <c r="C84" s="29"/>
      <c r="D84" s="8"/>
      <c r="E84" s="34"/>
      <c r="F84" s="31"/>
      <c r="G84" s="31"/>
      <c r="H84" s="9"/>
      <c r="I84" s="35"/>
      <c r="J84" s="33"/>
      <c r="K84" s="33"/>
      <c r="M84" s="24"/>
      <c r="O84" s="25"/>
    </row>
    <row r="85" spans="1:15" x14ac:dyDescent="0.25">
      <c r="A85" s="29"/>
      <c r="B85" s="29"/>
      <c r="C85" s="29"/>
      <c r="D85" s="8"/>
      <c r="E85" s="34"/>
      <c r="F85" s="31"/>
      <c r="G85" s="31"/>
      <c r="H85" s="9"/>
      <c r="I85" s="35"/>
      <c r="J85" s="33"/>
      <c r="K85" s="33"/>
      <c r="M85" s="24"/>
      <c r="O85" s="25"/>
    </row>
    <row r="86" spans="1:15" x14ac:dyDescent="0.25">
      <c r="A86" s="29"/>
      <c r="B86" s="29"/>
      <c r="C86" s="29"/>
      <c r="D86" s="8"/>
      <c r="E86" s="34"/>
      <c r="F86" s="31"/>
      <c r="G86" s="31"/>
      <c r="H86" s="9"/>
      <c r="I86" s="35"/>
      <c r="J86" s="33"/>
      <c r="K86" s="33"/>
      <c r="M86" s="24"/>
      <c r="O86" s="25"/>
    </row>
    <row r="87" spans="1:15" x14ac:dyDescent="0.25">
      <c r="A87" s="29"/>
      <c r="B87" s="29"/>
      <c r="C87" s="29"/>
      <c r="D87" s="8"/>
      <c r="E87" s="34"/>
      <c r="F87" s="31"/>
      <c r="G87" s="31"/>
      <c r="H87" s="9"/>
      <c r="I87" s="35"/>
      <c r="J87" s="33"/>
      <c r="K87" s="33"/>
      <c r="M87" s="24"/>
      <c r="O87" s="25"/>
    </row>
    <row r="88" spans="1:15" x14ac:dyDescent="0.25">
      <c r="A88" s="29"/>
      <c r="B88" s="29"/>
      <c r="C88" s="29"/>
      <c r="D88" s="8"/>
      <c r="E88" s="34"/>
      <c r="F88" s="31"/>
      <c r="G88" s="31"/>
      <c r="H88" s="9"/>
      <c r="I88" s="35"/>
      <c r="J88" s="33"/>
      <c r="K88" s="33"/>
      <c r="M88" s="24"/>
      <c r="O88" s="25"/>
    </row>
    <row r="89" spans="1:15" x14ac:dyDescent="0.25">
      <c r="A89" s="29"/>
      <c r="B89" s="29"/>
      <c r="C89" s="29"/>
      <c r="D89" s="8"/>
      <c r="E89" s="34"/>
      <c r="F89" s="31"/>
      <c r="G89" s="31"/>
      <c r="H89" s="9"/>
      <c r="I89" s="35"/>
      <c r="J89" s="33"/>
      <c r="K89" s="33"/>
      <c r="M89" s="24"/>
      <c r="O89" s="25"/>
    </row>
    <row r="90" spans="1:15" x14ac:dyDescent="0.25">
      <c r="A90" s="29"/>
      <c r="B90" s="29"/>
      <c r="C90" s="29"/>
      <c r="D90" s="8"/>
      <c r="E90" s="34"/>
      <c r="F90" s="31"/>
      <c r="G90" s="31"/>
      <c r="H90" s="9"/>
      <c r="I90" s="35"/>
      <c r="J90" s="33"/>
      <c r="K90" s="33"/>
      <c r="M90" s="24"/>
      <c r="O90" s="25"/>
    </row>
    <row r="91" spans="1:15" x14ac:dyDescent="0.25">
      <c r="A91" s="29"/>
      <c r="B91" s="29"/>
      <c r="C91" s="29"/>
      <c r="D91" s="8"/>
      <c r="E91" s="34"/>
      <c r="F91" s="31"/>
      <c r="G91" s="31"/>
      <c r="H91" s="9"/>
      <c r="I91" s="35"/>
      <c r="J91" s="33"/>
      <c r="K91" s="33"/>
      <c r="M91" s="24"/>
      <c r="O91" s="25"/>
    </row>
    <row r="92" spans="1:15" x14ac:dyDescent="0.25">
      <c r="A92" s="29"/>
      <c r="B92" s="29"/>
      <c r="C92" s="29"/>
      <c r="D92" s="8"/>
      <c r="E92" s="34"/>
      <c r="F92" s="31"/>
      <c r="G92" s="31"/>
      <c r="H92" s="9"/>
      <c r="I92" s="35"/>
      <c r="J92" s="33"/>
      <c r="K92" s="33"/>
      <c r="M92" s="24"/>
      <c r="O92" s="25"/>
    </row>
    <row r="93" spans="1:15" x14ac:dyDescent="0.25">
      <c r="A93" s="29"/>
      <c r="B93" s="29"/>
      <c r="C93" s="29"/>
      <c r="D93" s="8"/>
      <c r="E93" s="34"/>
      <c r="F93" s="31"/>
      <c r="G93" s="31"/>
      <c r="H93" s="9"/>
      <c r="I93" s="35"/>
      <c r="J93" s="33"/>
      <c r="K93" s="33"/>
      <c r="M93" s="24"/>
      <c r="O93" s="25"/>
    </row>
    <row r="94" spans="1:15" x14ac:dyDescent="0.25">
      <c r="A94" s="29"/>
      <c r="B94" s="29"/>
      <c r="C94" s="29"/>
      <c r="D94" s="8"/>
      <c r="E94" s="34"/>
      <c r="F94" s="31"/>
      <c r="G94" s="31"/>
      <c r="H94" s="9"/>
      <c r="I94" s="35"/>
      <c r="J94" s="33"/>
      <c r="K94" s="33"/>
      <c r="M94" s="24"/>
      <c r="O94" s="25"/>
    </row>
    <row r="95" spans="1:15" x14ac:dyDescent="0.25">
      <c r="A95" s="29"/>
      <c r="B95" s="29"/>
      <c r="C95" s="29"/>
      <c r="D95" s="8"/>
      <c r="E95" s="34"/>
      <c r="F95" s="31"/>
      <c r="G95" s="31"/>
      <c r="H95" s="9"/>
      <c r="I95" s="35"/>
      <c r="J95" s="33"/>
      <c r="K95" s="33"/>
      <c r="M95" s="24"/>
      <c r="O95" s="25"/>
    </row>
    <row r="96" spans="1:15" x14ac:dyDescent="0.25">
      <c r="A96" s="7"/>
      <c r="B96" s="7"/>
      <c r="C96" s="7"/>
      <c r="D96" s="8"/>
      <c r="E96" s="15"/>
      <c r="F96" s="17"/>
      <c r="G96" s="17"/>
      <c r="H96" s="9"/>
      <c r="I96" s="35"/>
      <c r="J96" s="20"/>
      <c r="K96" s="20"/>
      <c r="M96" s="24"/>
      <c r="O96" s="25"/>
    </row>
    <row r="97" spans="1:15" x14ac:dyDescent="0.25">
      <c r="A97" s="7"/>
      <c r="B97" s="7"/>
      <c r="C97" s="7"/>
      <c r="D97" s="8"/>
      <c r="E97" s="15"/>
      <c r="F97" s="17"/>
      <c r="G97" s="17"/>
      <c r="H97" s="9"/>
      <c r="I97" s="16"/>
      <c r="J97" s="20"/>
      <c r="K97" s="20"/>
      <c r="M97" s="24"/>
      <c r="O97" s="25"/>
    </row>
    <row r="98" spans="1:15" x14ac:dyDescent="0.25">
      <c r="A98" s="7"/>
      <c r="B98" s="7"/>
      <c r="C98" s="7"/>
      <c r="D98" s="8"/>
      <c r="E98" s="15"/>
      <c r="F98" s="17"/>
      <c r="G98" s="17"/>
      <c r="H98" s="9"/>
      <c r="I98" s="16"/>
      <c r="J98" s="20"/>
      <c r="K98" s="20"/>
      <c r="M98" s="24"/>
      <c r="O98" s="25"/>
    </row>
    <row r="99" spans="1:15" x14ac:dyDescent="0.25">
      <c r="A99" s="7"/>
      <c r="B99" s="7"/>
      <c r="C99" s="7"/>
      <c r="D99" s="8"/>
      <c r="E99" s="15"/>
      <c r="F99" s="17"/>
      <c r="G99" s="17"/>
      <c r="H99" s="9"/>
      <c r="I99" s="16"/>
      <c r="J99" s="20"/>
      <c r="K99" s="20"/>
      <c r="M99" s="24"/>
      <c r="O99" s="25"/>
    </row>
    <row r="100" spans="1:15" x14ac:dyDescent="0.25">
      <c r="A100" s="29"/>
      <c r="B100" s="29"/>
      <c r="C100" s="29"/>
      <c r="D100" s="8"/>
      <c r="E100" s="34"/>
      <c r="F100" s="31"/>
      <c r="G100" s="31"/>
      <c r="H100" s="9"/>
      <c r="I100" s="35"/>
      <c r="J100" s="33"/>
      <c r="K100" s="33"/>
      <c r="M100" s="24"/>
      <c r="O100" s="25"/>
    </row>
    <row r="101" spans="1:15" x14ac:dyDescent="0.25">
      <c r="A101" s="29"/>
      <c r="B101" s="29"/>
      <c r="C101" s="29"/>
      <c r="D101" s="8"/>
      <c r="E101" s="34"/>
      <c r="F101" s="31"/>
      <c r="G101" s="31"/>
      <c r="H101" s="9"/>
      <c r="I101" s="35"/>
      <c r="J101" s="33"/>
      <c r="K101" s="33"/>
      <c r="M101" s="24"/>
      <c r="O101" s="25"/>
    </row>
    <row r="102" spans="1:15" x14ac:dyDescent="0.25">
      <c r="A102" s="29"/>
      <c r="B102" s="29"/>
      <c r="C102" s="29"/>
      <c r="D102" s="8"/>
      <c r="E102" s="34"/>
      <c r="F102" s="31"/>
      <c r="G102" s="31"/>
      <c r="H102" s="9"/>
      <c r="I102" s="35"/>
      <c r="J102" s="33"/>
      <c r="K102" s="33"/>
      <c r="M102" s="24"/>
      <c r="O102" s="25"/>
    </row>
    <row r="103" spans="1:15" x14ac:dyDescent="0.25">
      <c r="A103" s="29"/>
      <c r="B103" s="29"/>
      <c r="C103" s="29"/>
      <c r="D103" s="8"/>
      <c r="E103" s="34"/>
      <c r="F103" s="31"/>
      <c r="G103" s="31"/>
      <c r="H103" s="9"/>
      <c r="I103" s="35"/>
      <c r="J103" s="33"/>
      <c r="K103" s="33"/>
      <c r="M103" s="24"/>
      <c r="O103" s="25"/>
    </row>
    <row r="104" spans="1:15" x14ac:dyDescent="0.25">
      <c r="A104" s="29"/>
      <c r="B104" s="29"/>
      <c r="C104" s="29"/>
      <c r="D104" s="8"/>
      <c r="E104" s="34"/>
      <c r="F104" s="31"/>
      <c r="G104" s="31"/>
      <c r="H104" s="9"/>
      <c r="I104" s="35"/>
      <c r="J104" s="33"/>
      <c r="K104" s="33"/>
      <c r="M104" s="24"/>
      <c r="O104" s="25"/>
    </row>
    <row r="105" spans="1:15" x14ac:dyDescent="0.25">
      <c r="A105" s="29"/>
      <c r="B105" s="29"/>
      <c r="C105" s="29"/>
      <c r="D105" s="8"/>
      <c r="E105" s="34"/>
      <c r="F105" s="31"/>
      <c r="G105" s="31"/>
      <c r="H105" s="9"/>
      <c r="I105" s="35"/>
      <c r="J105" s="33"/>
      <c r="K105" s="33"/>
      <c r="M105" s="24"/>
      <c r="O105" s="25"/>
    </row>
    <row r="106" spans="1:15" x14ac:dyDescent="0.25">
      <c r="A106" s="29"/>
      <c r="B106" s="29"/>
      <c r="C106" s="29"/>
      <c r="D106" s="8"/>
      <c r="E106" s="34"/>
      <c r="F106" s="31"/>
      <c r="G106" s="31"/>
      <c r="H106" s="9"/>
      <c r="I106" s="35"/>
      <c r="J106" s="33"/>
      <c r="K106" s="33"/>
      <c r="M106" s="24"/>
      <c r="O106" s="25"/>
    </row>
    <row r="107" spans="1:15" x14ac:dyDescent="0.25">
      <c r="A107" s="29"/>
      <c r="B107" s="29"/>
      <c r="C107" s="29"/>
      <c r="D107" s="8"/>
      <c r="E107" s="34"/>
      <c r="F107" s="31"/>
      <c r="G107" s="31"/>
      <c r="H107" s="9"/>
      <c r="I107" s="35"/>
      <c r="J107" s="33"/>
      <c r="K107" s="33"/>
      <c r="M107" s="24"/>
      <c r="O107" s="25"/>
    </row>
    <row r="108" spans="1:15" x14ac:dyDescent="0.25">
      <c r="A108" s="29"/>
      <c r="B108" s="29"/>
      <c r="C108" s="29"/>
      <c r="D108" s="8"/>
      <c r="E108" s="34"/>
      <c r="F108" s="31"/>
      <c r="G108" s="31"/>
      <c r="H108" s="9"/>
      <c r="I108" s="35"/>
      <c r="J108" s="33"/>
      <c r="K108" s="33"/>
      <c r="M108" s="24"/>
      <c r="O108" s="25"/>
    </row>
    <row r="109" spans="1:15" x14ac:dyDescent="0.25">
      <c r="A109" s="29"/>
      <c r="B109" s="29"/>
      <c r="C109" s="29"/>
      <c r="D109" s="8"/>
      <c r="E109" s="34"/>
      <c r="F109" s="31"/>
      <c r="G109" s="31"/>
      <c r="H109" s="9"/>
      <c r="I109" s="35"/>
      <c r="J109" s="33"/>
      <c r="K109" s="33"/>
      <c r="M109" s="24"/>
      <c r="O109" s="25"/>
    </row>
    <row r="110" spans="1:15" x14ac:dyDescent="0.25">
      <c r="A110" s="29"/>
      <c r="B110" s="29"/>
      <c r="C110" s="29"/>
      <c r="D110" s="8"/>
      <c r="E110" s="34"/>
      <c r="F110" s="31"/>
      <c r="G110" s="31"/>
      <c r="H110" s="9"/>
      <c r="I110" s="35"/>
      <c r="J110" s="33"/>
      <c r="K110" s="33"/>
      <c r="M110" s="24"/>
      <c r="O110" s="25"/>
    </row>
    <row r="111" spans="1:15" x14ac:dyDescent="0.25">
      <c r="A111" s="29"/>
      <c r="B111" s="29"/>
      <c r="C111" s="29"/>
      <c r="D111" s="8"/>
      <c r="E111" s="34"/>
      <c r="F111" s="31"/>
      <c r="G111" s="31"/>
      <c r="H111" s="9"/>
      <c r="I111" s="35"/>
      <c r="J111" s="33"/>
      <c r="K111" s="33"/>
      <c r="M111" s="24"/>
      <c r="O111" s="25"/>
    </row>
    <row r="112" spans="1:15" x14ac:dyDescent="0.25">
      <c r="A112" s="29"/>
      <c r="B112" s="29"/>
      <c r="C112" s="29"/>
      <c r="D112" s="8"/>
      <c r="E112" s="34"/>
      <c r="F112" s="31"/>
      <c r="G112" s="31"/>
      <c r="H112" s="9"/>
      <c r="I112" s="35"/>
      <c r="J112" s="33"/>
      <c r="K112" s="33"/>
      <c r="M112" s="24"/>
      <c r="O112" s="25"/>
    </row>
    <row r="113" spans="1:15" x14ac:dyDescent="0.25">
      <c r="A113" s="29"/>
      <c r="B113" s="29"/>
      <c r="C113" s="29"/>
      <c r="D113" s="8"/>
      <c r="E113" s="34"/>
      <c r="F113" s="31"/>
      <c r="G113" s="31"/>
      <c r="H113" s="9"/>
      <c r="I113" s="35"/>
      <c r="J113" s="33"/>
      <c r="K113" s="33"/>
      <c r="M113" s="24"/>
      <c r="O113" s="25"/>
    </row>
    <row r="114" spans="1:15" x14ac:dyDescent="0.25">
      <c r="A114" s="29"/>
      <c r="B114" s="29"/>
      <c r="C114" s="29"/>
      <c r="D114" s="8"/>
      <c r="E114" s="34"/>
      <c r="F114" s="31"/>
      <c r="G114" s="31"/>
      <c r="H114" s="9"/>
      <c r="I114" s="35"/>
      <c r="J114" s="33"/>
      <c r="K114" s="33"/>
      <c r="M114" s="24"/>
      <c r="O114" s="25"/>
    </row>
    <row r="115" spans="1:15" x14ac:dyDescent="0.25">
      <c r="A115" s="29"/>
      <c r="B115" s="29"/>
      <c r="C115" s="29"/>
      <c r="D115" s="8"/>
      <c r="E115" s="34"/>
      <c r="F115" s="31"/>
      <c r="G115" s="31"/>
      <c r="H115" s="9"/>
      <c r="I115" s="35"/>
      <c r="J115" s="33"/>
      <c r="K115" s="33"/>
      <c r="M115" s="24"/>
      <c r="O115" s="25"/>
    </row>
    <row r="116" spans="1:15" x14ac:dyDescent="0.25">
      <c r="A116" s="29"/>
      <c r="B116" s="29"/>
      <c r="C116" s="29"/>
      <c r="D116" s="8"/>
      <c r="E116" s="34"/>
      <c r="F116" s="31"/>
      <c r="G116" s="31"/>
      <c r="H116" s="9"/>
      <c r="I116" s="35"/>
      <c r="J116" s="33"/>
      <c r="K116" s="33"/>
      <c r="M116" s="24"/>
      <c r="O116" s="25"/>
    </row>
    <row r="117" spans="1:15" x14ac:dyDescent="0.25">
      <c r="A117" s="29"/>
      <c r="B117" s="29"/>
      <c r="C117" s="29"/>
      <c r="D117" s="8"/>
      <c r="E117" s="34"/>
      <c r="F117" s="31"/>
      <c r="G117" s="31"/>
      <c r="H117" s="9"/>
      <c r="I117" s="35"/>
      <c r="J117" s="33"/>
      <c r="K117" s="33"/>
      <c r="M117" s="24"/>
      <c r="O117" s="25"/>
    </row>
    <row r="118" spans="1:15" x14ac:dyDescent="0.25">
      <c r="A118" s="29"/>
      <c r="B118" s="29"/>
      <c r="C118" s="29"/>
      <c r="D118" s="8"/>
      <c r="E118" s="34"/>
      <c r="F118" s="31"/>
      <c r="G118" s="31"/>
      <c r="H118" s="9"/>
      <c r="I118" s="35"/>
      <c r="J118" s="33"/>
      <c r="K118" s="33"/>
      <c r="M118" s="24"/>
      <c r="O118" s="25"/>
    </row>
    <row r="119" spans="1:15" x14ac:dyDescent="0.25">
      <c r="A119" s="29"/>
      <c r="B119" s="29"/>
      <c r="C119" s="29"/>
      <c r="D119" s="8"/>
      <c r="E119" s="34"/>
      <c r="F119" s="31"/>
      <c r="G119" s="31"/>
      <c r="H119" s="9"/>
      <c r="I119" s="35"/>
      <c r="J119" s="33"/>
      <c r="K119" s="33"/>
      <c r="M119" s="24"/>
      <c r="O119" s="25"/>
    </row>
    <row r="120" spans="1:15" x14ac:dyDescent="0.25">
      <c r="A120" s="29"/>
      <c r="B120" s="29"/>
      <c r="C120" s="29"/>
      <c r="D120" s="8"/>
      <c r="E120" s="34"/>
      <c r="F120" s="31"/>
      <c r="G120" s="31"/>
      <c r="H120" s="9"/>
      <c r="I120" s="35"/>
      <c r="J120" s="33"/>
      <c r="K120" s="33"/>
      <c r="M120" s="24"/>
      <c r="O120" s="25"/>
    </row>
    <row r="121" spans="1:15" x14ac:dyDescent="0.25">
      <c r="A121" s="29"/>
      <c r="B121" s="29"/>
      <c r="C121" s="29"/>
      <c r="D121" s="8"/>
      <c r="E121" s="34"/>
      <c r="F121" s="31"/>
      <c r="G121" s="31"/>
      <c r="H121" s="9"/>
      <c r="I121" s="35"/>
      <c r="J121" s="33"/>
      <c r="K121" s="33"/>
      <c r="M121" s="24"/>
      <c r="O121" s="25"/>
    </row>
    <row r="122" spans="1:15" x14ac:dyDescent="0.25">
      <c r="A122" s="29"/>
      <c r="B122" s="29"/>
      <c r="C122" s="29"/>
      <c r="D122" s="8"/>
      <c r="E122" s="34"/>
      <c r="F122" s="31"/>
      <c r="G122" s="31"/>
      <c r="H122" s="9"/>
      <c r="I122" s="35"/>
      <c r="J122" s="33"/>
      <c r="K122" s="33"/>
      <c r="M122" s="24"/>
      <c r="O122" s="25"/>
    </row>
    <row r="123" spans="1:15" x14ac:dyDescent="0.25">
      <c r="A123" s="29"/>
      <c r="B123" s="29"/>
      <c r="C123" s="29"/>
      <c r="D123" s="8"/>
      <c r="E123" s="34"/>
      <c r="F123" s="31"/>
      <c r="G123" s="31"/>
      <c r="H123" s="9"/>
      <c r="I123" s="35"/>
      <c r="J123" s="33"/>
      <c r="K123" s="33"/>
      <c r="M123" s="24"/>
      <c r="O123" s="25"/>
    </row>
    <row r="124" spans="1:15" x14ac:dyDescent="0.25">
      <c r="A124" s="29"/>
      <c r="B124" s="29"/>
      <c r="C124" s="29"/>
      <c r="D124" s="8"/>
      <c r="E124" s="34"/>
      <c r="F124" s="31"/>
      <c r="G124" s="31"/>
      <c r="H124" s="9"/>
      <c r="I124" s="35"/>
      <c r="J124" s="33"/>
      <c r="K124" s="33"/>
      <c r="M124" s="24"/>
      <c r="O124" s="25"/>
    </row>
    <row r="125" spans="1:15" x14ac:dyDescent="0.25">
      <c r="A125" s="29"/>
      <c r="B125" s="29"/>
      <c r="C125" s="29"/>
      <c r="D125" s="8"/>
      <c r="E125" s="34"/>
      <c r="F125" s="31"/>
      <c r="G125" s="31"/>
      <c r="H125" s="9"/>
      <c r="I125" s="35"/>
      <c r="J125" s="33"/>
      <c r="K125" s="33"/>
      <c r="M125" s="24"/>
      <c r="O125" s="25"/>
    </row>
    <row r="126" spans="1:15" x14ac:dyDescent="0.25">
      <c r="A126" s="29"/>
      <c r="B126" s="29"/>
      <c r="C126" s="29"/>
      <c r="D126" s="8"/>
      <c r="E126" s="34"/>
      <c r="F126" s="31"/>
      <c r="G126" s="31"/>
      <c r="H126" s="9"/>
      <c r="I126" s="35"/>
      <c r="J126" s="33"/>
      <c r="K126" s="33"/>
      <c r="M126" s="24"/>
      <c r="O126" s="25"/>
    </row>
    <row r="127" spans="1:15" x14ac:dyDescent="0.25">
      <c r="A127" s="29"/>
      <c r="B127" s="29"/>
      <c r="C127" s="29"/>
      <c r="D127" s="8"/>
      <c r="E127" s="34"/>
      <c r="F127" s="31"/>
      <c r="G127" s="31"/>
      <c r="H127" s="9"/>
      <c r="I127" s="35"/>
      <c r="J127" s="33"/>
      <c r="K127" s="33"/>
      <c r="M127" s="24"/>
      <c r="O127" s="25"/>
    </row>
    <row r="128" spans="1:15" x14ac:dyDescent="0.25">
      <c r="A128" s="29"/>
      <c r="B128" s="29"/>
      <c r="C128" s="29"/>
      <c r="D128" s="8"/>
      <c r="E128" s="34"/>
      <c r="F128" s="31"/>
      <c r="G128" s="31"/>
      <c r="H128" s="9"/>
      <c r="I128" s="35"/>
      <c r="J128" s="33"/>
      <c r="K128" s="33"/>
      <c r="M128" s="24"/>
      <c r="O128" s="25"/>
    </row>
    <row r="129" spans="1:15" x14ac:dyDescent="0.25">
      <c r="A129" s="29"/>
      <c r="B129" s="29"/>
      <c r="C129" s="29"/>
      <c r="D129" s="8"/>
      <c r="E129" s="34"/>
      <c r="F129" s="31"/>
      <c r="G129" s="31"/>
      <c r="H129" s="9"/>
      <c r="I129" s="35"/>
      <c r="J129" s="33"/>
      <c r="K129" s="33"/>
      <c r="M129" s="24"/>
      <c r="O129" s="25"/>
    </row>
    <row r="130" spans="1:15" x14ac:dyDescent="0.25">
      <c r="A130" s="29"/>
      <c r="B130" s="29"/>
      <c r="C130" s="29"/>
      <c r="D130" s="8"/>
      <c r="E130" s="34"/>
      <c r="F130" s="31"/>
      <c r="G130" s="31"/>
      <c r="H130" s="9"/>
      <c r="I130" s="35"/>
      <c r="J130" s="33"/>
      <c r="K130" s="33"/>
      <c r="M130" s="24"/>
      <c r="O130" s="25"/>
    </row>
    <row r="131" spans="1:15" x14ac:dyDescent="0.25">
      <c r="A131" s="29"/>
      <c r="B131" s="29"/>
      <c r="C131" s="29"/>
      <c r="D131" s="8"/>
      <c r="E131" s="34"/>
      <c r="F131" s="31"/>
      <c r="G131" s="31"/>
      <c r="H131" s="9"/>
      <c r="I131" s="35"/>
      <c r="J131" s="33"/>
      <c r="K131" s="33"/>
      <c r="M131" s="24"/>
      <c r="O131" s="25"/>
    </row>
    <row r="132" spans="1:15" x14ac:dyDescent="0.25">
      <c r="A132" s="29"/>
      <c r="B132" s="29"/>
      <c r="C132" s="29"/>
      <c r="D132" s="8"/>
      <c r="E132" s="34"/>
      <c r="F132" s="31"/>
      <c r="G132" s="31"/>
      <c r="H132" s="9"/>
      <c r="I132" s="35"/>
      <c r="J132" s="33"/>
      <c r="K132" s="33"/>
      <c r="M132" s="24"/>
      <c r="O132" s="25"/>
    </row>
    <row r="133" spans="1:15" x14ac:dyDescent="0.25">
      <c r="A133" s="29"/>
      <c r="B133" s="29"/>
      <c r="C133" s="29"/>
      <c r="D133" s="8"/>
      <c r="E133" s="34"/>
      <c r="F133" s="31"/>
      <c r="G133" s="31"/>
      <c r="H133" s="9"/>
      <c r="I133" s="35"/>
      <c r="J133" s="33"/>
      <c r="K133" s="33"/>
      <c r="M133" s="24"/>
      <c r="O133" s="25"/>
    </row>
    <row r="134" spans="1:15" x14ac:dyDescent="0.25">
      <c r="A134" s="29"/>
      <c r="B134" s="29"/>
      <c r="C134" s="29"/>
      <c r="D134" s="8"/>
      <c r="E134" s="34"/>
      <c r="F134" s="31"/>
      <c r="G134" s="31"/>
      <c r="H134" s="9"/>
      <c r="I134" s="35"/>
      <c r="J134" s="33"/>
      <c r="K134" s="33"/>
      <c r="M134" s="24"/>
      <c r="O134" s="25"/>
    </row>
    <row r="135" spans="1:15" x14ac:dyDescent="0.25">
      <c r="A135" s="29"/>
      <c r="B135" s="29"/>
      <c r="C135" s="29"/>
      <c r="D135" s="8"/>
      <c r="E135" s="34"/>
      <c r="F135" s="31"/>
      <c r="G135" s="31"/>
      <c r="H135" s="9"/>
      <c r="I135" s="35"/>
      <c r="J135" s="33"/>
      <c r="K135" s="33"/>
      <c r="M135" s="24"/>
      <c r="O135" s="25"/>
    </row>
    <row r="136" spans="1:15" x14ac:dyDescent="0.25">
      <c r="A136" s="29"/>
      <c r="B136" s="29"/>
      <c r="C136" s="29"/>
      <c r="D136" s="8"/>
      <c r="E136" s="34"/>
      <c r="F136" s="31"/>
      <c r="G136" s="31"/>
      <c r="H136" s="9"/>
      <c r="I136" s="35"/>
      <c r="J136" s="33"/>
      <c r="K136" s="33"/>
      <c r="M136" s="24"/>
      <c r="O136" s="25"/>
    </row>
    <row r="137" spans="1:15" x14ac:dyDescent="0.25">
      <c r="A137" s="29"/>
      <c r="B137" s="29"/>
      <c r="C137" s="29"/>
      <c r="D137" s="8"/>
      <c r="E137" s="34"/>
      <c r="F137" s="31"/>
      <c r="G137" s="31"/>
      <c r="H137" s="9"/>
      <c r="I137" s="35"/>
      <c r="J137" s="33"/>
      <c r="K137" s="33"/>
      <c r="M137" s="24"/>
      <c r="O137" s="25"/>
    </row>
    <row r="138" spans="1:15" x14ac:dyDescent="0.25">
      <c r="A138" s="29"/>
      <c r="B138" s="29"/>
      <c r="C138" s="29"/>
      <c r="D138" s="8"/>
      <c r="E138" s="34"/>
      <c r="F138" s="31"/>
      <c r="G138" s="31"/>
      <c r="H138" s="9"/>
      <c r="I138" s="35"/>
      <c r="J138" s="33"/>
      <c r="K138" s="33"/>
      <c r="M138" s="24"/>
      <c r="O138" s="25"/>
    </row>
    <row r="139" spans="1:15" x14ac:dyDescent="0.25">
      <c r="A139" s="29"/>
      <c r="B139" s="29"/>
      <c r="C139" s="29"/>
      <c r="D139" s="8"/>
      <c r="E139" s="34"/>
      <c r="F139" s="31"/>
      <c r="G139" s="31"/>
      <c r="H139" s="9"/>
      <c r="I139" s="35"/>
      <c r="J139" s="33"/>
      <c r="K139" s="33"/>
      <c r="M139" s="24"/>
      <c r="O139" s="25"/>
    </row>
    <row r="140" spans="1:15" x14ac:dyDescent="0.25">
      <c r="A140" s="29"/>
      <c r="B140" s="29"/>
      <c r="C140" s="29"/>
      <c r="D140" s="8"/>
      <c r="E140" s="34"/>
      <c r="F140" s="31"/>
      <c r="G140" s="31"/>
      <c r="H140" s="9"/>
      <c r="I140" s="35"/>
      <c r="J140" s="33"/>
      <c r="K140" s="33"/>
      <c r="M140" s="24"/>
      <c r="O140" s="25"/>
    </row>
    <row r="141" spans="1:15" x14ac:dyDescent="0.25">
      <c r="A141" s="29"/>
      <c r="B141" s="29"/>
      <c r="C141" s="29"/>
      <c r="D141" s="8"/>
      <c r="E141" s="34"/>
      <c r="F141" s="31"/>
      <c r="G141" s="31"/>
      <c r="H141" s="9"/>
      <c r="I141" s="35"/>
      <c r="J141" s="33"/>
      <c r="K141" s="33"/>
      <c r="M141" s="24"/>
      <c r="O141" s="25"/>
    </row>
    <row r="142" spans="1:15" x14ac:dyDescent="0.25">
      <c r="A142" s="29"/>
      <c r="B142" s="29"/>
      <c r="C142" s="29"/>
      <c r="D142" s="8"/>
      <c r="E142" s="34"/>
      <c r="F142" s="31"/>
      <c r="G142" s="31"/>
      <c r="H142" s="9"/>
      <c r="I142" s="35"/>
      <c r="J142" s="33"/>
      <c r="K142" s="33"/>
      <c r="M142" s="24"/>
      <c r="O142" s="25"/>
    </row>
    <row r="143" spans="1:15" x14ac:dyDescent="0.25">
      <c r="A143" s="29"/>
      <c r="B143" s="29"/>
      <c r="C143" s="29"/>
      <c r="D143" s="8"/>
      <c r="E143" s="34"/>
      <c r="F143" s="31"/>
      <c r="G143" s="31"/>
      <c r="H143" s="9"/>
      <c r="I143" s="35"/>
      <c r="J143" s="33"/>
      <c r="K143" s="33"/>
      <c r="M143" s="24"/>
      <c r="O143" s="25"/>
    </row>
    <row r="144" spans="1:15" x14ac:dyDescent="0.25">
      <c r="A144" s="29"/>
      <c r="B144" s="29"/>
      <c r="C144" s="29"/>
      <c r="D144" s="8"/>
      <c r="E144" s="34"/>
      <c r="F144" s="31"/>
      <c r="G144" s="31"/>
      <c r="H144" s="9"/>
      <c r="I144" s="35"/>
      <c r="J144" s="33"/>
      <c r="K144" s="33"/>
      <c r="M144" s="24"/>
      <c r="O144" s="25"/>
    </row>
    <row r="145" spans="1:15" x14ac:dyDescent="0.25">
      <c r="A145" s="29"/>
      <c r="B145" s="29"/>
      <c r="C145" s="29"/>
      <c r="D145" s="8"/>
      <c r="E145" s="34"/>
      <c r="F145" s="31"/>
      <c r="G145" s="31"/>
      <c r="H145" s="9"/>
      <c r="I145" s="35"/>
      <c r="J145" s="33"/>
      <c r="K145" s="33"/>
      <c r="M145" s="24"/>
      <c r="O145" s="25"/>
    </row>
    <row r="146" spans="1:15" x14ac:dyDescent="0.25">
      <c r="A146" s="29"/>
      <c r="B146" s="29"/>
      <c r="C146" s="29"/>
      <c r="D146" s="8"/>
      <c r="E146" s="34"/>
      <c r="F146" s="31"/>
      <c r="G146" s="31"/>
      <c r="H146" s="9"/>
      <c r="I146" s="35"/>
      <c r="J146" s="33"/>
      <c r="K146" s="33"/>
      <c r="M146" s="24"/>
      <c r="O146" s="25"/>
    </row>
    <row r="147" spans="1:15" x14ac:dyDescent="0.25">
      <c r="A147" s="29"/>
      <c r="B147" s="29"/>
      <c r="C147" s="29"/>
      <c r="D147" s="8"/>
      <c r="E147" s="34"/>
      <c r="F147" s="31"/>
      <c r="G147" s="31"/>
      <c r="H147" s="9"/>
      <c r="I147" s="35"/>
      <c r="J147" s="33"/>
      <c r="K147" s="33"/>
      <c r="M147" s="24"/>
      <c r="O147" s="25"/>
    </row>
    <row r="148" spans="1:15" x14ac:dyDescent="0.25">
      <c r="A148" s="29"/>
      <c r="B148" s="29"/>
      <c r="C148" s="29"/>
      <c r="D148" s="8"/>
      <c r="E148" s="34"/>
      <c r="F148" s="31"/>
      <c r="G148" s="31"/>
      <c r="H148" s="9"/>
      <c r="I148" s="35"/>
      <c r="J148" s="33"/>
      <c r="K148" s="33"/>
      <c r="M148" s="24"/>
      <c r="O148" s="25"/>
    </row>
    <row r="149" spans="1:15" x14ac:dyDescent="0.25">
      <c r="A149" s="29"/>
      <c r="B149" s="29"/>
      <c r="C149" s="29"/>
      <c r="D149" s="8"/>
      <c r="E149" s="34"/>
      <c r="F149" s="31"/>
      <c r="G149" s="31"/>
      <c r="H149" s="9"/>
      <c r="I149" s="35"/>
      <c r="J149" s="33"/>
      <c r="K149" s="33"/>
      <c r="M149" s="24"/>
      <c r="O149" s="25"/>
    </row>
    <row r="150" spans="1:15" x14ac:dyDescent="0.25">
      <c r="A150" s="29"/>
      <c r="B150" s="29"/>
      <c r="C150" s="29"/>
      <c r="D150" s="8"/>
      <c r="E150" s="34"/>
      <c r="F150" s="31"/>
      <c r="G150" s="31"/>
      <c r="H150" s="9"/>
      <c r="I150" s="35"/>
      <c r="J150" s="33"/>
      <c r="K150" s="33"/>
      <c r="M150" s="24"/>
      <c r="O150" s="25"/>
    </row>
    <row r="151" spans="1:15" x14ac:dyDescent="0.25">
      <c r="A151" s="29"/>
      <c r="B151" s="29"/>
      <c r="C151" s="29"/>
      <c r="D151" s="8"/>
      <c r="E151" s="34"/>
      <c r="F151" s="31"/>
      <c r="G151" s="31"/>
      <c r="H151" s="9"/>
      <c r="I151" s="35"/>
      <c r="J151" s="33"/>
      <c r="K151" s="33"/>
      <c r="M151" s="24"/>
      <c r="O151" s="25"/>
    </row>
    <row r="152" spans="1:15" x14ac:dyDescent="0.25">
      <c r="A152" s="29"/>
      <c r="B152" s="29"/>
      <c r="C152" s="29"/>
      <c r="D152" s="8"/>
      <c r="E152" s="34"/>
      <c r="F152" s="31"/>
      <c r="G152" s="31"/>
      <c r="H152" s="9"/>
      <c r="I152" s="35"/>
      <c r="J152" s="33"/>
      <c r="K152" s="33"/>
      <c r="M152" s="24"/>
      <c r="O152" s="25"/>
    </row>
    <row r="153" spans="1:15" x14ac:dyDescent="0.25">
      <c r="A153" s="29"/>
      <c r="B153" s="29"/>
      <c r="C153" s="29"/>
      <c r="D153" s="8"/>
      <c r="E153" s="34"/>
      <c r="F153" s="31"/>
      <c r="G153" s="31"/>
      <c r="H153" s="9"/>
      <c r="I153" s="35"/>
      <c r="J153" s="33"/>
      <c r="K153" s="33"/>
      <c r="M153" s="24"/>
      <c r="O153" s="25"/>
    </row>
    <row r="154" spans="1:15" x14ac:dyDescent="0.25">
      <c r="A154" s="29"/>
      <c r="B154" s="29"/>
      <c r="C154" s="29"/>
      <c r="D154" s="8"/>
      <c r="E154" s="34"/>
      <c r="F154" s="31"/>
      <c r="G154" s="31"/>
      <c r="H154" s="9"/>
      <c r="I154" s="35"/>
      <c r="J154" s="33"/>
      <c r="K154" s="33"/>
      <c r="M154" s="24"/>
      <c r="O154" s="25"/>
    </row>
    <row r="155" spans="1:15" x14ac:dyDescent="0.25">
      <c r="A155" s="29"/>
      <c r="B155" s="29"/>
      <c r="C155" s="29"/>
      <c r="D155" s="8"/>
      <c r="E155" s="34"/>
      <c r="F155" s="31"/>
      <c r="G155" s="31"/>
      <c r="H155" s="9"/>
      <c r="I155" s="35"/>
      <c r="J155" s="33"/>
      <c r="K155" s="33"/>
      <c r="M155" s="24"/>
      <c r="O155" s="25"/>
    </row>
    <row r="156" spans="1:15" x14ac:dyDescent="0.25">
      <c r="A156" s="29"/>
      <c r="B156" s="29"/>
      <c r="C156" s="29"/>
      <c r="D156" s="8"/>
      <c r="E156" s="34"/>
      <c r="F156" s="31"/>
      <c r="G156" s="31"/>
      <c r="H156" s="9"/>
      <c r="I156" s="35"/>
      <c r="J156" s="33"/>
      <c r="K156" s="33"/>
      <c r="M156" s="24"/>
      <c r="O156" s="25"/>
    </row>
    <row r="157" spans="1:15" x14ac:dyDescent="0.25">
      <c r="A157" s="29"/>
      <c r="B157" s="29"/>
      <c r="C157" s="29"/>
      <c r="D157" s="8"/>
      <c r="E157" s="34"/>
      <c r="F157" s="31"/>
      <c r="G157" s="31"/>
      <c r="H157" s="9"/>
      <c r="I157" s="35"/>
      <c r="J157" s="33"/>
      <c r="K157" s="33"/>
      <c r="M157" s="24"/>
      <c r="O157" s="25"/>
    </row>
    <row r="158" spans="1:15" x14ac:dyDescent="0.25">
      <c r="A158" s="29"/>
      <c r="B158" s="29"/>
      <c r="C158" s="29"/>
      <c r="D158" s="8"/>
      <c r="E158" s="34"/>
      <c r="F158" s="31"/>
      <c r="G158" s="31"/>
      <c r="H158" s="9"/>
      <c r="I158" s="35"/>
      <c r="J158" s="33"/>
      <c r="K158" s="33"/>
      <c r="M158" s="24"/>
      <c r="O158" s="25"/>
    </row>
    <row r="159" spans="1:15" x14ac:dyDescent="0.25">
      <c r="A159" s="29"/>
      <c r="B159" s="29"/>
      <c r="C159" s="29"/>
      <c r="D159" s="8"/>
      <c r="E159" s="34"/>
      <c r="F159" s="31"/>
      <c r="G159" s="31"/>
      <c r="H159" s="9"/>
      <c r="I159" s="35"/>
      <c r="J159" s="33"/>
      <c r="K159" s="33"/>
      <c r="M159" s="24"/>
      <c r="O159" s="25"/>
    </row>
    <row r="160" spans="1:15" x14ac:dyDescent="0.25">
      <c r="A160" s="29"/>
      <c r="B160" s="29"/>
      <c r="C160" s="29"/>
      <c r="D160" s="8"/>
      <c r="E160" s="34"/>
      <c r="F160" s="31"/>
      <c r="G160" s="31"/>
      <c r="H160" s="9"/>
      <c r="I160" s="35"/>
      <c r="J160" s="33"/>
      <c r="K160" s="33"/>
      <c r="M160" s="24"/>
      <c r="O160" s="25"/>
    </row>
    <row r="161" spans="1:15" x14ac:dyDescent="0.25">
      <c r="A161" s="29"/>
      <c r="B161" s="29"/>
      <c r="C161" s="29"/>
      <c r="D161" s="8"/>
      <c r="E161" s="34"/>
      <c r="F161" s="31"/>
      <c r="G161" s="31"/>
      <c r="H161" s="9"/>
      <c r="I161" s="35"/>
      <c r="J161" s="33"/>
      <c r="K161" s="33"/>
      <c r="M161" s="24"/>
      <c r="O161" s="25"/>
    </row>
    <row r="162" spans="1:15" x14ac:dyDescent="0.25">
      <c r="A162" s="29"/>
      <c r="B162" s="29"/>
      <c r="C162" s="29"/>
      <c r="D162" s="8"/>
      <c r="E162" s="34"/>
      <c r="F162" s="31"/>
      <c r="G162" s="31"/>
      <c r="H162" s="9"/>
      <c r="I162" s="35"/>
      <c r="J162" s="33"/>
      <c r="K162" s="33"/>
      <c r="M162" s="24"/>
      <c r="O162" s="25"/>
    </row>
    <row r="163" spans="1:15" x14ac:dyDescent="0.25">
      <c r="A163" s="29"/>
      <c r="B163" s="29"/>
      <c r="C163" s="29"/>
      <c r="D163" s="8"/>
      <c r="E163" s="34"/>
      <c r="F163" s="31"/>
      <c r="G163" s="31"/>
      <c r="H163" s="9"/>
      <c r="I163" s="35"/>
      <c r="J163" s="33"/>
      <c r="K163" s="33"/>
      <c r="M163" s="24"/>
      <c r="O163" s="25"/>
    </row>
    <row r="164" spans="1:15" x14ac:dyDescent="0.25">
      <c r="A164" s="29"/>
      <c r="B164" s="29"/>
      <c r="C164" s="29"/>
      <c r="D164" s="8"/>
      <c r="E164" s="34"/>
      <c r="F164" s="31"/>
      <c r="G164" s="31"/>
      <c r="H164" s="9"/>
      <c r="I164" s="35"/>
      <c r="J164" s="33"/>
      <c r="K164" s="33"/>
      <c r="M164" s="24"/>
      <c r="O164" s="25"/>
    </row>
    <row r="165" spans="1:15" x14ac:dyDescent="0.25">
      <c r="A165" s="29"/>
      <c r="B165" s="29"/>
      <c r="C165" s="29"/>
      <c r="D165" s="8"/>
      <c r="E165" s="34"/>
      <c r="F165" s="31"/>
      <c r="G165" s="31"/>
      <c r="H165" s="9"/>
      <c r="I165" s="35"/>
      <c r="J165" s="33"/>
      <c r="K165" s="33"/>
      <c r="M165" s="24"/>
      <c r="O165" s="25"/>
    </row>
    <row r="166" spans="1:15" x14ac:dyDescent="0.25">
      <c r="A166" s="29"/>
      <c r="B166" s="29"/>
      <c r="C166" s="29"/>
      <c r="D166" s="8"/>
      <c r="E166" s="34"/>
      <c r="F166" s="31"/>
      <c r="G166" s="31"/>
      <c r="H166" s="9"/>
      <c r="I166" s="35"/>
      <c r="J166" s="33"/>
      <c r="K166" s="33"/>
      <c r="M166" s="24"/>
      <c r="O166" s="25"/>
    </row>
    <row r="167" spans="1:15" x14ac:dyDescent="0.25">
      <c r="A167" s="29"/>
      <c r="B167" s="29"/>
      <c r="C167" s="29"/>
      <c r="D167" s="8"/>
      <c r="E167" s="34"/>
      <c r="F167" s="31"/>
      <c r="G167" s="31"/>
      <c r="H167" s="9"/>
      <c r="I167" s="35"/>
      <c r="J167" s="33"/>
      <c r="K167" s="33"/>
      <c r="M167" s="24"/>
      <c r="O167" s="25"/>
    </row>
    <row r="168" spans="1:15" x14ac:dyDescent="0.25">
      <c r="A168" s="29"/>
      <c r="B168" s="29"/>
      <c r="C168" s="29"/>
      <c r="D168" s="8"/>
      <c r="E168" s="34"/>
      <c r="F168" s="31"/>
      <c r="G168" s="31"/>
      <c r="H168" s="9"/>
      <c r="I168" s="35"/>
      <c r="J168" s="33"/>
      <c r="K168" s="33"/>
      <c r="M168" s="24"/>
      <c r="O168" s="25"/>
    </row>
    <row r="169" spans="1:15" x14ac:dyDescent="0.25">
      <c r="A169" s="29"/>
      <c r="B169" s="29"/>
      <c r="C169" s="29"/>
      <c r="D169" s="8"/>
      <c r="E169" s="34"/>
      <c r="F169" s="31"/>
      <c r="G169" s="31"/>
      <c r="H169" s="9"/>
      <c r="I169" s="35"/>
      <c r="J169" s="33"/>
      <c r="K169" s="33"/>
      <c r="M169" s="24"/>
      <c r="O169" s="25"/>
    </row>
    <row r="170" spans="1:15" x14ac:dyDescent="0.25">
      <c r="A170" s="29"/>
      <c r="B170" s="29"/>
      <c r="C170" s="29"/>
      <c r="D170" s="8"/>
      <c r="E170" s="34"/>
      <c r="F170" s="31"/>
      <c r="G170" s="31"/>
      <c r="H170" s="9"/>
      <c r="I170" s="35"/>
      <c r="J170" s="33"/>
      <c r="K170" s="33"/>
      <c r="M170" s="24"/>
      <c r="O170" s="25"/>
    </row>
    <row r="171" spans="1:15" x14ac:dyDescent="0.25">
      <c r="A171" s="29"/>
      <c r="B171" s="29"/>
      <c r="C171" s="29"/>
      <c r="D171" s="8"/>
      <c r="E171" s="34"/>
      <c r="F171" s="31"/>
      <c r="G171" s="31"/>
      <c r="H171" s="9"/>
      <c r="I171" s="35"/>
      <c r="J171" s="33"/>
      <c r="K171" s="33"/>
      <c r="M171" s="24"/>
      <c r="O171" s="25"/>
    </row>
    <row r="172" spans="1:15" x14ac:dyDescent="0.25">
      <c r="A172" s="29"/>
      <c r="B172" s="29"/>
      <c r="C172" s="29"/>
      <c r="D172" s="8"/>
      <c r="E172" s="34"/>
      <c r="F172" s="31"/>
      <c r="G172" s="31"/>
      <c r="H172" s="9"/>
      <c r="I172" s="35"/>
      <c r="J172" s="33"/>
      <c r="K172" s="33"/>
      <c r="M172" s="24"/>
      <c r="O172" s="25"/>
    </row>
    <row r="173" spans="1:15" x14ac:dyDescent="0.25">
      <c r="A173" s="29"/>
      <c r="B173" s="29"/>
      <c r="C173" s="29"/>
      <c r="D173" s="8"/>
      <c r="E173" s="34"/>
      <c r="F173" s="31"/>
      <c r="G173" s="31"/>
      <c r="H173" s="9"/>
      <c r="I173" s="35"/>
      <c r="J173" s="33"/>
      <c r="K173" s="33"/>
      <c r="M173" s="24"/>
      <c r="O173" s="25"/>
    </row>
    <row r="174" spans="1:15" x14ac:dyDescent="0.25">
      <c r="A174" s="29"/>
      <c r="B174" s="29"/>
      <c r="C174" s="29"/>
      <c r="D174" s="8"/>
      <c r="E174" s="34"/>
      <c r="F174" s="31"/>
      <c r="G174" s="31"/>
      <c r="H174" s="9"/>
      <c r="I174" s="35"/>
      <c r="J174" s="33"/>
      <c r="K174" s="33"/>
      <c r="M174" s="24"/>
      <c r="O174" s="25"/>
    </row>
    <row r="175" spans="1:15" x14ac:dyDescent="0.25">
      <c r="A175" s="29"/>
      <c r="B175" s="29"/>
      <c r="C175" s="29"/>
      <c r="D175" s="8"/>
      <c r="E175" s="34"/>
      <c r="F175" s="31"/>
      <c r="G175" s="31"/>
      <c r="H175" s="9"/>
      <c r="I175" s="35"/>
      <c r="J175" s="33"/>
      <c r="K175" s="33"/>
      <c r="M175" s="24"/>
      <c r="O175" s="25"/>
    </row>
    <row r="176" spans="1:15" x14ac:dyDescent="0.25">
      <c r="A176" s="29"/>
      <c r="B176" s="29"/>
      <c r="C176" s="29"/>
      <c r="D176" s="8"/>
      <c r="E176" s="34"/>
      <c r="F176" s="31"/>
      <c r="G176" s="31"/>
      <c r="H176" s="9"/>
      <c r="I176" s="35"/>
      <c r="J176" s="33"/>
      <c r="K176" s="33"/>
      <c r="M176" s="24"/>
      <c r="O176" s="25"/>
    </row>
    <row r="177" spans="1:15" x14ac:dyDescent="0.25">
      <c r="A177" s="29"/>
      <c r="B177" s="29"/>
      <c r="C177" s="29"/>
      <c r="D177" s="8"/>
      <c r="E177" s="34"/>
      <c r="F177" s="31"/>
      <c r="G177" s="31"/>
      <c r="H177" s="9"/>
      <c r="I177" s="35"/>
      <c r="J177" s="33"/>
      <c r="K177" s="33"/>
      <c r="M177" s="24"/>
      <c r="O177" s="25"/>
    </row>
    <row r="178" spans="1:15" x14ac:dyDescent="0.25">
      <c r="A178" s="29"/>
      <c r="B178" s="29"/>
      <c r="C178" s="29"/>
      <c r="D178" s="8"/>
      <c r="E178" s="34"/>
      <c r="F178" s="31"/>
      <c r="G178" s="31"/>
      <c r="H178" s="9"/>
      <c r="I178" s="35"/>
      <c r="J178" s="33"/>
      <c r="K178" s="33"/>
      <c r="M178" s="24"/>
      <c r="O178" s="25"/>
    </row>
    <row r="179" spans="1:15" x14ac:dyDescent="0.25">
      <c r="A179" s="29"/>
      <c r="B179" s="29"/>
      <c r="C179" s="29"/>
      <c r="D179" s="8"/>
      <c r="E179" s="34"/>
      <c r="F179" s="31"/>
      <c r="G179" s="31"/>
      <c r="H179" s="9"/>
      <c r="I179" s="35"/>
      <c r="J179" s="33"/>
      <c r="K179" s="33"/>
      <c r="M179" s="24"/>
      <c r="O179" s="25"/>
    </row>
    <row r="180" spans="1:15" x14ac:dyDescent="0.25">
      <c r="A180" s="29"/>
      <c r="B180" s="29"/>
      <c r="C180" s="29"/>
      <c r="D180" s="8"/>
      <c r="E180" s="34"/>
      <c r="F180" s="31"/>
      <c r="G180" s="31"/>
      <c r="H180" s="9"/>
      <c r="I180" s="35"/>
      <c r="J180" s="33"/>
      <c r="K180" s="33"/>
      <c r="M180" s="24"/>
      <c r="O180" s="25"/>
    </row>
    <row r="181" spans="1:15" x14ac:dyDescent="0.25">
      <c r="A181" s="29"/>
      <c r="B181" s="29"/>
      <c r="C181" s="29"/>
      <c r="D181" s="8"/>
      <c r="E181" s="34"/>
      <c r="F181" s="31"/>
      <c r="G181" s="31"/>
      <c r="H181" s="9"/>
      <c r="I181" s="35"/>
      <c r="J181" s="33"/>
      <c r="K181" s="33"/>
      <c r="M181" s="24"/>
      <c r="O181" s="25"/>
    </row>
    <row r="182" spans="1:15" x14ac:dyDescent="0.25">
      <c r="A182" s="29"/>
      <c r="B182" s="29"/>
      <c r="C182" s="29"/>
      <c r="D182" s="8"/>
      <c r="E182" s="34"/>
      <c r="F182" s="31"/>
      <c r="G182" s="31"/>
      <c r="H182" s="9"/>
      <c r="I182" s="35"/>
      <c r="J182" s="33"/>
      <c r="K182" s="33"/>
      <c r="M182" s="24"/>
      <c r="O182" s="25"/>
    </row>
    <row r="183" spans="1:15" x14ac:dyDescent="0.25">
      <c r="A183" s="29"/>
      <c r="B183" s="29"/>
      <c r="C183" s="29"/>
      <c r="D183" s="8"/>
      <c r="E183" s="34"/>
      <c r="F183" s="31"/>
      <c r="G183" s="31"/>
      <c r="H183" s="9"/>
      <c r="I183" s="35"/>
      <c r="J183" s="33"/>
      <c r="K183" s="33"/>
      <c r="M183" s="24"/>
      <c r="O183" s="25"/>
    </row>
    <row r="184" spans="1:15" x14ac:dyDescent="0.25">
      <c r="A184" s="29"/>
      <c r="B184" s="29"/>
      <c r="C184" s="29"/>
      <c r="D184" s="8"/>
      <c r="E184" s="34"/>
      <c r="F184" s="31"/>
      <c r="G184" s="31"/>
      <c r="H184" s="9"/>
      <c r="I184" s="35"/>
      <c r="J184" s="33"/>
      <c r="K184" s="33"/>
      <c r="M184" s="24"/>
      <c r="O184" s="25"/>
    </row>
    <row r="185" spans="1:15" x14ac:dyDescent="0.25">
      <c r="A185" s="29"/>
      <c r="B185" s="29"/>
      <c r="C185" s="29"/>
      <c r="D185" s="8"/>
      <c r="E185" s="34"/>
      <c r="F185" s="31"/>
      <c r="G185" s="31"/>
      <c r="H185" s="9"/>
      <c r="I185" s="35"/>
      <c r="J185" s="33"/>
      <c r="K185" s="33"/>
      <c r="M185" s="24"/>
      <c r="O185" s="25"/>
    </row>
    <row r="186" spans="1:15" x14ac:dyDescent="0.25">
      <c r="A186" s="29"/>
      <c r="B186" s="29"/>
      <c r="C186" s="29"/>
      <c r="D186" s="8"/>
      <c r="E186" s="34"/>
      <c r="F186" s="31"/>
      <c r="G186" s="31"/>
      <c r="H186" s="9"/>
      <c r="I186" s="35"/>
      <c r="J186" s="33"/>
      <c r="K186" s="33"/>
      <c r="M186" s="24"/>
      <c r="O186" s="25"/>
    </row>
  </sheetData>
  <sortState ref="A4:O29">
    <sortCondition ref="B4:B29"/>
  </sortState>
  <mergeCells count="4">
    <mergeCell ref="D1:G1"/>
    <mergeCell ref="H1:K1"/>
    <mergeCell ref="F2:G2"/>
    <mergeCell ref="J2:K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6</xdr:row>
                    <xdr:rowOff>85725</xdr:rowOff>
                  </from>
                  <to>
                    <xdr:col>18</xdr:col>
                    <xdr:colOff>542925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6</xdr:row>
                    <xdr:rowOff>85725</xdr:rowOff>
                  </from>
                  <to>
                    <xdr:col>18</xdr:col>
                    <xdr:colOff>542925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lačidlo1_Kliknúť">
                <anchor moveWithCells="1">
                  <from>
                    <xdr:col>16</xdr:col>
                    <xdr:colOff>209550</xdr:colOff>
                    <xdr:row>1</xdr:row>
                    <xdr:rowOff>228600</xdr:rowOff>
                  </from>
                  <to>
                    <xdr:col>19</xdr:col>
                    <xdr:colOff>276225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Tlačidlo2_Kliknúť">
                <anchor moveWithCells="1">
                  <from>
                    <xdr:col>16</xdr:col>
                    <xdr:colOff>228600</xdr:colOff>
                    <xdr:row>3</xdr:row>
                    <xdr:rowOff>19050</xdr:rowOff>
                  </from>
                  <to>
                    <xdr:col>19</xdr:col>
                    <xdr:colOff>304800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4"/>
  <dimension ref="A1:AM185"/>
  <sheetViews>
    <sheetView workbookViewId="0">
      <selection activeCell="M1" sqref="M1 O1 O12:O14"/>
    </sheetView>
  </sheetViews>
  <sheetFormatPr defaultRowHeight="15" x14ac:dyDescent="0.25"/>
  <cols>
    <col min="1" max="1" width="26.140625" style="3" customWidth="1"/>
    <col min="2" max="2" width="16.5703125" style="3" customWidth="1"/>
    <col min="3" max="3" width="13.85546875" style="3" customWidth="1"/>
    <col min="4" max="4" width="12.5703125" style="10" customWidth="1"/>
    <col min="5" max="5" width="12.5703125" style="30" customWidth="1"/>
    <col min="6" max="6" width="9.42578125" style="18" customWidth="1"/>
    <col min="7" max="7" width="10.5703125" style="18" customWidth="1"/>
    <col min="8" max="8" width="12.5703125" style="11" customWidth="1"/>
    <col min="9" max="9" width="12.5703125" style="32" customWidth="1"/>
    <col min="10" max="10" width="10.28515625" style="21" customWidth="1"/>
    <col min="11" max="11" width="10.42578125" style="21" customWidth="1"/>
    <col min="12" max="12" width="9.140625" style="3"/>
    <col min="13" max="13" width="16" style="22" customWidth="1"/>
    <col min="14" max="14" width="9.140625" style="3"/>
    <col min="15" max="15" width="16.7109375" style="23" customWidth="1"/>
    <col min="16" max="16384" width="9.140625" style="3"/>
  </cols>
  <sheetData>
    <row r="1" spans="1:39" ht="22.5" customHeight="1" x14ac:dyDescent="0.3">
      <c r="A1" s="2" t="s">
        <v>12</v>
      </c>
      <c r="B1" s="2" t="s">
        <v>9</v>
      </c>
      <c r="C1" s="2" t="s">
        <v>8</v>
      </c>
      <c r="D1" s="87" t="s">
        <v>6</v>
      </c>
      <c r="E1" s="87"/>
      <c r="F1" s="87"/>
      <c r="G1" s="87"/>
      <c r="H1" s="84" t="s">
        <v>7</v>
      </c>
      <c r="I1" s="85"/>
      <c r="J1" s="85"/>
      <c r="K1" s="86"/>
      <c r="M1" s="26" t="s">
        <v>10</v>
      </c>
      <c r="O1" s="27" t="s">
        <v>11</v>
      </c>
    </row>
    <row r="2" spans="1:39" ht="22.5" customHeight="1" x14ac:dyDescent="0.3">
      <c r="A2" s="2"/>
      <c r="B2" s="4"/>
      <c r="C2" s="4"/>
      <c r="D2" s="5" t="s">
        <v>2</v>
      </c>
      <c r="E2" s="13" t="s">
        <v>0</v>
      </c>
      <c r="F2" s="81" t="s">
        <v>3</v>
      </c>
      <c r="G2" s="81"/>
      <c r="H2" s="6" t="s">
        <v>2</v>
      </c>
      <c r="I2" s="14" t="s">
        <v>1</v>
      </c>
      <c r="J2" s="82" t="s">
        <v>3</v>
      </c>
      <c r="K2" s="83"/>
      <c r="M2" s="24"/>
      <c r="N2"/>
      <c r="O2" s="25"/>
    </row>
    <row r="3" spans="1:39" ht="22.5" customHeight="1" x14ac:dyDescent="0.3">
      <c r="A3" s="2"/>
      <c r="B3" s="4"/>
      <c r="C3" s="4"/>
      <c r="D3" s="5"/>
      <c r="E3" s="13"/>
      <c r="F3" s="78" t="s">
        <v>4</v>
      </c>
      <c r="G3" s="78" t="s">
        <v>5</v>
      </c>
      <c r="H3" s="6"/>
      <c r="I3" s="14"/>
      <c r="J3" s="19" t="s">
        <v>4</v>
      </c>
      <c r="K3" s="19" t="s">
        <v>5</v>
      </c>
      <c r="M3" s="24"/>
      <c r="N3"/>
      <c r="O3" s="25"/>
    </row>
    <row r="4" spans="1:39" x14ac:dyDescent="0.25">
      <c r="A4" s="29">
        <v>1020950</v>
      </c>
      <c r="B4" s="29">
        <v>0.4</v>
      </c>
      <c r="C4" s="29">
        <v>658</v>
      </c>
      <c r="D4" s="8">
        <v>-1.5</v>
      </c>
      <c r="E4" s="80">
        <v>-1.5</v>
      </c>
      <c r="F4" s="31">
        <v>-2.2000000000000002</v>
      </c>
      <c r="G4" s="31">
        <v>-1.3</v>
      </c>
      <c r="H4" s="9">
        <v>0.25</v>
      </c>
      <c r="I4" s="79">
        <v>0.25</v>
      </c>
      <c r="J4" s="33">
        <v>-0.1</v>
      </c>
      <c r="K4" s="33">
        <v>0.4</v>
      </c>
      <c r="M4" s="24"/>
      <c r="O4" s="25"/>
      <c r="AL4" s="37" t="s">
        <v>24</v>
      </c>
    </row>
    <row r="5" spans="1:39" x14ac:dyDescent="0.25">
      <c r="A5" s="29">
        <v>1020950</v>
      </c>
      <c r="B5" s="29">
        <v>0.4</v>
      </c>
      <c r="C5" s="29">
        <v>658</v>
      </c>
      <c r="D5" s="8">
        <v>-1.5</v>
      </c>
      <c r="E5" s="80">
        <v>-1.5</v>
      </c>
      <c r="F5" s="31">
        <v>-2.2000000000000002</v>
      </c>
      <c r="G5" s="31">
        <v>-1.3</v>
      </c>
      <c r="H5" s="9">
        <v>0.25</v>
      </c>
      <c r="I5" s="79">
        <v>0.25</v>
      </c>
      <c r="J5" s="33">
        <v>-0.1</v>
      </c>
      <c r="K5" s="33">
        <v>0.4</v>
      </c>
      <c r="M5" s="24"/>
      <c r="O5" s="25"/>
    </row>
    <row r="6" spans="1:39" x14ac:dyDescent="0.25">
      <c r="A6" s="29">
        <v>1020877</v>
      </c>
      <c r="B6" s="29">
        <v>0.6</v>
      </c>
      <c r="C6" s="29">
        <v>930</v>
      </c>
      <c r="D6" s="8">
        <v>-1</v>
      </c>
      <c r="E6" s="80">
        <v>-1</v>
      </c>
      <c r="F6" s="31">
        <v>-2</v>
      </c>
      <c r="G6" s="31">
        <v>-1</v>
      </c>
      <c r="H6" s="9">
        <v>0</v>
      </c>
      <c r="I6" s="79">
        <v>0.1</v>
      </c>
      <c r="J6" s="33">
        <v>0.1</v>
      </c>
      <c r="K6" s="33">
        <v>0.55000000000000004</v>
      </c>
      <c r="M6" s="24"/>
      <c r="O6" s="25"/>
      <c r="AM6" s="37" t="s">
        <v>23</v>
      </c>
    </row>
    <row r="7" spans="1:39" x14ac:dyDescent="0.25">
      <c r="A7" s="29">
        <v>1020877</v>
      </c>
      <c r="B7" s="29">
        <v>0.6</v>
      </c>
      <c r="C7" s="29">
        <v>930</v>
      </c>
      <c r="D7" s="8">
        <v>-1</v>
      </c>
      <c r="E7" s="80">
        <v>-1</v>
      </c>
      <c r="F7" s="31">
        <v>-2</v>
      </c>
      <c r="G7" s="31">
        <v>-1</v>
      </c>
      <c r="H7" s="9">
        <v>0</v>
      </c>
      <c r="I7" s="79">
        <v>0.1</v>
      </c>
      <c r="J7" s="33">
        <v>0.1</v>
      </c>
      <c r="K7" s="33">
        <v>0.55000000000000004</v>
      </c>
      <c r="M7" s="24"/>
      <c r="O7" s="25"/>
    </row>
    <row r="8" spans="1:39" x14ac:dyDescent="0.25">
      <c r="A8" s="29">
        <v>1020877</v>
      </c>
      <c r="B8" s="29">
        <v>0.6</v>
      </c>
      <c r="C8" s="29">
        <v>930</v>
      </c>
      <c r="D8" s="8">
        <v>-1</v>
      </c>
      <c r="E8" s="80">
        <v>-1</v>
      </c>
      <c r="F8" s="31">
        <v>-2</v>
      </c>
      <c r="G8" s="31">
        <v>-1</v>
      </c>
      <c r="H8" s="9">
        <v>0</v>
      </c>
      <c r="I8" s="79">
        <v>0.1</v>
      </c>
      <c r="J8" s="33">
        <v>0.1</v>
      </c>
      <c r="K8" s="33">
        <v>0.55000000000000004</v>
      </c>
      <c r="M8" s="24"/>
      <c r="O8" s="25"/>
    </row>
    <row r="9" spans="1:39" x14ac:dyDescent="0.25">
      <c r="A9" s="29">
        <v>1020877</v>
      </c>
      <c r="B9" s="29">
        <v>0.6</v>
      </c>
      <c r="C9" s="29">
        <v>930</v>
      </c>
      <c r="D9" s="8">
        <v>-1</v>
      </c>
      <c r="E9" s="80">
        <v>-1</v>
      </c>
      <c r="F9" s="31">
        <v>-2</v>
      </c>
      <c r="G9" s="31">
        <v>-1</v>
      </c>
      <c r="H9" s="9">
        <v>0</v>
      </c>
      <c r="I9" s="79">
        <v>0.1</v>
      </c>
      <c r="J9" s="33">
        <v>0.1</v>
      </c>
      <c r="K9" s="33">
        <v>0.55000000000000004</v>
      </c>
      <c r="M9" s="24"/>
      <c r="O9" s="25"/>
    </row>
    <row r="10" spans="1:39" x14ac:dyDescent="0.25">
      <c r="A10" s="29">
        <v>1020877</v>
      </c>
      <c r="B10" s="29">
        <v>0.6</v>
      </c>
      <c r="C10" s="29">
        <v>930</v>
      </c>
      <c r="D10" s="8">
        <v>-1</v>
      </c>
      <c r="E10" s="80">
        <v>-1</v>
      </c>
      <c r="F10" s="31">
        <v>-2</v>
      </c>
      <c r="G10" s="31">
        <v>-1</v>
      </c>
      <c r="H10" s="9">
        <v>0</v>
      </c>
      <c r="I10" s="79">
        <v>0.1</v>
      </c>
      <c r="J10" s="33">
        <v>0.1</v>
      </c>
      <c r="K10" s="33">
        <v>0.55000000000000004</v>
      </c>
      <c r="M10" s="24"/>
      <c r="O10" s="25"/>
    </row>
    <row r="11" spans="1:39" x14ac:dyDescent="0.25">
      <c r="A11" s="29">
        <v>1020877</v>
      </c>
      <c r="B11" s="29">
        <v>0.6</v>
      </c>
      <c r="C11" s="29">
        <v>930</v>
      </c>
      <c r="D11" s="8">
        <v>-1</v>
      </c>
      <c r="E11" s="80">
        <v>-1</v>
      </c>
      <c r="F11" s="31">
        <v>-2</v>
      </c>
      <c r="G11" s="31">
        <v>-1</v>
      </c>
      <c r="H11" s="9">
        <v>0</v>
      </c>
      <c r="I11" s="79">
        <v>0.1</v>
      </c>
      <c r="J11" s="33">
        <v>0.1</v>
      </c>
      <c r="K11" s="33">
        <v>0.55000000000000004</v>
      </c>
      <c r="M11" s="24"/>
      <c r="O11" s="25"/>
    </row>
    <row r="12" spans="1:39" x14ac:dyDescent="0.25">
      <c r="A12" s="29">
        <v>1020877</v>
      </c>
      <c r="B12" s="29">
        <v>0.6</v>
      </c>
      <c r="C12" s="29">
        <v>930</v>
      </c>
      <c r="D12" s="8">
        <v>-1</v>
      </c>
      <c r="E12" s="80">
        <v>-1</v>
      </c>
      <c r="F12" s="31">
        <v>-2</v>
      </c>
      <c r="G12" s="31">
        <v>-1</v>
      </c>
      <c r="H12" s="9">
        <v>0</v>
      </c>
      <c r="I12" s="79">
        <v>0</v>
      </c>
      <c r="J12" s="33">
        <v>0.1</v>
      </c>
      <c r="K12" s="33">
        <v>0.55000000000000004</v>
      </c>
      <c r="M12" s="24"/>
      <c r="O12" s="25"/>
    </row>
    <row r="13" spans="1:39" x14ac:dyDescent="0.25">
      <c r="A13" s="29">
        <v>1020877</v>
      </c>
      <c r="B13" s="29">
        <v>0.6</v>
      </c>
      <c r="C13" s="29">
        <v>930</v>
      </c>
      <c r="D13" s="8">
        <v>-1</v>
      </c>
      <c r="E13" s="80">
        <v>-1</v>
      </c>
      <c r="F13" s="31">
        <v>-2</v>
      </c>
      <c r="G13" s="31">
        <v>-1</v>
      </c>
      <c r="H13" s="9">
        <v>0</v>
      </c>
      <c r="I13" s="79">
        <v>0</v>
      </c>
      <c r="J13" s="33">
        <v>0.1</v>
      </c>
      <c r="K13" s="33">
        <v>0.55000000000000004</v>
      </c>
      <c r="M13" s="24"/>
      <c r="O13" s="25"/>
    </row>
    <row r="14" spans="1:39" x14ac:dyDescent="0.25">
      <c r="A14" s="29">
        <v>1020877</v>
      </c>
      <c r="B14" s="29">
        <v>0.6</v>
      </c>
      <c r="C14" s="29">
        <v>930</v>
      </c>
      <c r="D14" s="8">
        <v>-1</v>
      </c>
      <c r="E14" s="80">
        <v>-1</v>
      </c>
      <c r="F14" s="31">
        <v>-2</v>
      </c>
      <c r="G14" s="31">
        <v>-1</v>
      </c>
      <c r="H14" s="9">
        <v>0</v>
      </c>
      <c r="I14" s="79">
        <v>0</v>
      </c>
      <c r="J14" s="33">
        <v>0.1</v>
      </c>
      <c r="K14" s="33">
        <v>0.55000000000000004</v>
      </c>
      <c r="M14" s="24"/>
      <c r="O14" s="25"/>
    </row>
    <row r="15" spans="1:39" x14ac:dyDescent="0.25">
      <c r="A15" s="29">
        <v>1020892</v>
      </c>
      <c r="B15" s="29">
        <v>0.65</v>
      </c>
      <c r="C15" s="29">
        <v>880</v>
      </c>
      <c r="D15" s="8">
        <v>-1.2</v>
      </c>
      <c r="E15" s="80">
        <v>-1.2</v>
      </c>
      <c r="F15" s="31">
        <v>-1.9</v>
      </c>
      <c r="G15" s="31">
        <v>-0.9</v>
      </c>
      <c r="H15" s="9">
        <v>0.6</v>
      </c>
      <c r="I15" s="79">
        <v>0.6</v>
      </c>
      <c r="J15" s="33">
        <v>0.15</v>
      </c>
      <c r="K15" s="33">
        <v>0.6</v>
      </c>
      <c r="M15" s="24"/>
      <c r="O15" s="25"/>
    </row>
    <row r="16" spans="1:39" x14ac:dyDescent="0.25">
      <c r="A16" s="29">
        <v>1020892</v>
      </c>
      <c r="B16" s="29">
        <v>0.65</v>
      </c>
      <c r="C16" s="29">
        <v>880</v>
      </c>
      <c r="D16" s="8">
        <v>-1.2</v>
      </c>
      <c r="E16" s="80">
        <v>-1.2</v>
      </c>
      <c r="F16" s="31">
        <v>-1.9</v>
      </c>
      <c r="G16" s="31">
        <v>-0.9</v>
      </c>
      <c r="H16" s="9">
        <v>0.6</v>
      </c>
      <c r="I16" s="79">
        <v>0.6</v>
      </c>
      <c r="J16" s="33">
        <v>0.15</v>
      </c>
      <c r="K16" s="33">
        <v>0.6</v>
      </c>
      <c r="M16" s="24"/>
      <c r="O16" s="25"/>
    </row>
    <row r="17" spans="1:15" x14ac:dyDescent="0.25">
      <c r="A17" s="29">
        <v>1020892</v>
      </c>
      <c r="B17" s="29">
        <v>0.65</v>
      </c>
      <c r="C17" s="29">
        <v>880</v>
      </c>
      <c r="D17" s="8">
        <v>-1.2</v>
      </c>
      <c r="E17" s="80">
        <v>-1.2</v>
      </c>
      <c r="F17" s="31">
        <v>-1.9</v>
      </c>
      <c r="G17" s="31">
        <v>-0.9</v>
      </c>
      <c r="H17" s="9">
        <v>0.6</v>
      </c>
      <c r="I17" s="79">
        <v>0.6</v>
      </c>
      <c r="J17" s="33">
        <v>0.15</v>
      </c>
      <c r="K17" s="33">
        <v>0.6</v>
      </c>
      <c r="M17" s="24"/>
      <c r="O17" s="25"/>
    </row>
    <row r="18" spans="1:15" x14ac:dyDescent="0.25">
      <c r="A18" s="29">
        <v>1020892</v>
      </c>
      <c r="B18" s="29">
        <v>0.65</v>
      </c>
      <c r="C18" s="29">
        <v>880</v>
      </c>
      <c r="D18" s="8">
        <v>-1.2</v>
      </c>
      <c r="E18" s="80">
        <v>-1.2</v>
      </c>
      <c r="F18" s="31">
        <v>-1.9</v>
      </c>
      <c r="G18" s="31">
        <v>-0.9</v>
      </c>
      <c r="H18" s="9">
        <v>0.6</v>
      </c>
      <c r="I18" s="79">
        <v>0.6</v>
      </c>
      <c r="J18" s="33">
        <v>0.15</v>
      </c>
      <c r="K18" s="33">
        <v>0.6</v>
      </c>
      <c r="M18" s="24"/>
      <c r="O18" s="25"/>
    </row>
    <row r="19" spans="1:15" x14ac:dyDescent="0.25">
      <c r="A19" s="29">
        <v>1020892</v>
      </c>
      <c r="B19" s="29">
        <v>0.65</v>
      </c>
      <c r="C19" s="29">
        <v>880</v>
      </c>
      <c r="D19" s="8">
        <v>-1.2</v>
      </c>
      <c r="E19" s="80">
        <v>-1.2</v>
      </c>
      <c r="F19" s="31">
        <v>-1.9</v>
      </c>
      <c r="G19" s="31">
        <v>-0.9</v>
      </c>
      <c r="H19" s="9">
        <v>0.6</v>
      </c>
      <c r="I19" s="79">
        <v>0.6</v>
      </c>
      <c r="J19" s="33">
        <v>0.15</v>
      </c>
      <c r="K19" s="33">
        <v>0.6</v>
      </c>
      <c r="M19" s="24"/>
      <c r="O19" s="25"/>
    </row>
    <row r="20" spans="1:15" x14ac:dyDescent="0.25">
      <c r="A20" s="29">
        <v>1020892</v>
      </c>
      <c r="B20" s="29">
        <v>0.65</v>
      </c>
      <c r="C20" s="29">
        <v>880</v>
      </c>
      <c r="D20" s="8">
        <v>-1.2</v>
      </c>
      <c r="E20" s="80">
        <v>-1.2</v>
      </c>
      <c r="F20" s="31">
        <v>-1.9</v>
      </c>
      <c r="G20" s="31">
        <v>-0.9</v>
      </c>
      <c r="H20" s="9">
        <v>0.6</v>
      </c>
      <c r="I20" s="79">
        <v>0.6</v>
      </c>
      <c r="J20" s="33">
        <v>0.15</v>
      </c>
      <c r="K20" s="33">
        <v>0.6</v>
      </c>
      <c r="M20" s="24"/>
      <c r="O20" s="25"/>
    </row>
    <row r="21" spans="1:15" x14ac:dyDescent="0.25">
      <c r="A21" s="29">
        <v>1020892</v>
      </c>
      <c r="B21" s="29">
        <v>0.65</v>
      </c>
      <c r="C21" s="29">
        <v>880</v>
      </c>
      <c r="D21" s="8">
        <v>-1.2</v>
      </c>
      <c r="E21" s="80">
        <v>-1.2</v>
      </c>
      <c r="F21" s="31">
        <v>-1.9</v>
      </c>
      <c r="G21" s="31">
        <v>-0.9</v>
      </c>
      <c r="H21" s="9">
        <v>0.6</v>
      </c>
      <c r="I21" s="79">
        <v>0.6</v>
      </c>
      <c r="J21" s="33">
        <v>0.15</v>
      </c>
      <c r="K21" s="33">
        <v>0.6</v>
      </c>
      <c r="M21" s="24"/>
      <c r="O21" s="25"/>
    </row>
    <row r="22" spans="1:15" x14ac:dyDescent="0.25">
      <c r="A22" s="29">
        <v>1020892</v>
      </c>
      <c r="B22" s="29">
        <v>0.65</v>
      </c>
      <c r="C22" s="29">
        <v>880</v>
      </c>
      <c r="D22" s="8">
        <v>-1.2</v>
      </c>
      <c r="E22" s="80">
        <v>-1.2</v>
      </c>
      <c r="F22" s="31">
        <v>-1.9</v>
      </c>
      <c r="G22" s="31">
        <v>-0.9</v>
      </c>
      <c r="H22" s="9">
        <v>0.6</v>
      </c>
      <c r="I22" s="79">
        <v>0.6</v>
      </c>
      <c r="J22" s="33">
        <v>0.15</v>
      </c>
      <c r="K22" s="33">
        <v>0.6</v>
      </c>
      <c r="M22" s="24"/>
      <c r="O22" s="25"/>
    </row>
    <row r="23" spans="1:15" x14ac:dyDescent="0.25">
      <c r="A23" s="29">
        <v>1020892</v>
      </c>
      <c r="B23" s="29">
        <v>0.65</v>
      </c>
      <c r="C23" s="29">
        <v>880</v>
      </c>
      <c r="D23" s="8">
        <v>-1.2</v>
      </c>
      <c r="E23" s="80">
        <v>-1.2</v>
      </c>
      <c r="F23" s="31">
        <v>-1.9</v>
      </c>
      <c r="G23" s="31">
        <v>-0.9</v>
      </c>
      <c r="H23" s="9">
        <v>0.6</v>
      </c>
      <c r="I23" s="79">
        <v>0.6</v>
      </c>
      <c r="J23" s="33">
        <v>0.15</v>
      </c>
      <c r="K23" s="33">
        <v>0.6</v>
      </c>
      <c r="M23" s="24"/>
      <c r="O23" s="25"/>
    </row>
    <row r="24" spans="1:15" x14ac:dyDescent="0.25">
      <c r="A24" s="29">
        <v>1020698</v>
      </c>
      <c r="B24" s="29">
        <v>0.8</v>
      </c>
      <c r="C24" s="29">
        <v>490</v>
      </c>
      <c r="D24" s="8">
        <v>-1.6</v>
      </c>
      <c r="E24" s="80">
        <v>-1.6</v>
      </c>
      <c r="F24" s="31">
        <v>-1.75</v>
      </c>
      <c r="G24" s="31">
        <v>-0.75</v>
      </c>
      <c r="H24" s="9">
        <v>0.5</v>
      </c>
      <c r="I24" s="79">
        <v>0.5</v>
      </c>
      <c r="J24" s="33">
        <v>0.3</v>
      </c>
      <c r="K24" s="33">
        <v>0.75</v>
      </c>
      <c r="M24" s="24"/>
      <c r="O24" s="25"/>
    </row>
    <row r="25" spans="1:15" x14ac:dyDescent="0.25">
      <c r="A25" s="29">
        <v>1020698</v>
      </c>
      <c r="B25" s="29">
        <v>0.8</v>
      </c>
      <c r="C25" s="29">
        <v>490</v>
      </c>
      <c r="D25" s="8">
        <v>-1.6</v>
      </c>
      <c r="E25" s="80">
        <v>-1.6</v>
      </c>
      <c r="F25" s="31">
        <v>-1.75</v>
      </c>
      <c r="G25" s="31">
        <v>-0.75</v>
      </c>
      <c r="H25" s="9">
        <v>0.5</v>
      </c>
      <c r="I25" s="79">
        <v>0.5</v>
      </c>
      <c r="J25" s="33">
        <v>0.3</v>
      </c>
      <c r="K25" s="33">
        <v>0.75</v>
      </c>
      <c r="M25" s="24"/>
      <c r="O25" s="25"/>
    </row>
    <row r="26" spans="1:15" x14ac:dyDescent="0.25">
      <c r="A26" s="29">
        <v>1020875</v>
      </c>
      <c r="B26" s="29">
        <v>0.9</v>
      </c>
      <c r="C26" s="29">
        <v>1060</v>
      </c>
      <c r="D26" s="8">
        <v>-0.7</v>
      </c>
      <c r="E26" s="80">
        <v>-0.7</v>
      </c>
      <c r="F26" s="31">
        <v>-1.6</v>
      </c>
      <c r="G26" s="31">
        <v>-0.7</v>
      </c>
      <c r="H26" s="9">
        <v>0.9</v>
      </c>
      <c r="I26" s="79">
        <v>0.9</v>
      </c>
      <c r="J26" s="33">
        <v>0.4</v>
      </c>
      <c r="K26" s="33">
        <v>0.9</v>
      </c>
      <c r="M26" s="24"/>
      <c r="O26" s="25"/>
    </row>
    <row r="27" spans="1:15" x14ac:dyDescent="0.25">
      <c r="A27" s="29">
        <v>1020878</v>
      </c>
      <c r="B27" s="29">
        <v>0.9</v>
      </c>
      <c r="C27" s="29">
        <v>1060</v>
      </c>
      <c r="D27" s="8">
        <v>-0.7</v>
      </c>
      <c r="E27" s="80">
        <v>-0.7</v>
      </c>
      <c r="F27" s="31">
        <v>-1.6</v>
      </c>
      <c r="G27" s="31">
        <v>-0.7</v>
      </c>
      <c r="H27" s="9">
        <v>0.9</v>
      </c>
      <c r="I27" s="79">
        <v>0.9</v>
      </c>
      <c r="J27" s="33">
        <v>0.4</v>
      </c>
      <c r="K27" s="33">
        <v>0.9</v>
      </c>
      <c r="M27" s="24"/>
      <c r="O27" s="25"/>
    </row>
    <row r="28" spans="1:15" x14ac:dyDescent="0.25">
      <c r="A28" s="29">
        <v>1020875</v>
      </c>
      <c r="B28" s="29">
        <v>0.9</v>
      </c>
      <c r="C28" s="29">
        <v>1060</v>
      </c>
      <c r="D28" s="8">
        <v>-0.7</v>
      </c>
      <c r="E28" s="80">
        <v>-0.7</v>
      </c>
      <c r="F28" s="31">
        <v>-1.6</v>
      </c>
      <c r="G28" s="31">
        <v>-0.7</v>
      </c>
      <c r="H28" s="9">
        <v>0.9</v>
      </c>
      <c r="I28" s="79">
        <v>0.9</v>
      </c>
      <c r="J28" s="33">
        <v>0.4</v>
      </c>
      <c r="K28" s="33">
        <v>0.9</v>
      </c>
      <c r="M28" s="24"/>
      <c r="O28" s="25"/>
    </row>
    <row r="29" spans="1:15" x14ac:dyDescent="0.25">
      <c r="A29" s="29">
        <v>1020875</v>
      </c>
      <c r="B29" s="29">
        <v>0.9</v>
      </c>
      <c r="C29" s="29">
        <v>1060</v>
      </c>
      <c r="D29" s="8">
        <v>-0.7</v>
      </c>
      <c r="E29" s="80">
        <v>-0.7</v>
      </c>
      <c r="F29" s="31">
        <v>-1.6</v>
      </c>
      <c r="G29" s="31">
        <v>-0.7</v>
      </c>
      <c r="H29" s="9">
        <v>0.9</v>
      </c>
      <c r="I29" s="79">
        <v>0.9</v>
      </c>
      <c r="J29" s="33">
        <v>0.4</v>
      </c>
      <c r="K29" s="33">
        <v>0.9</v>
      </c>
      <c r="M29" s="24"/>
      <c r="O29" s="25"/>
    </row>
    <row r="30" spans="1:15" x14ac:dyDescent="0.25">
      <c r="A30" s="29">
        <v>1020875</v>
      </c>
      <c r="B30" s="29">
        <v>0.9</v>
      </c>
      <c r="C30" s="29">
        <v>1060</v>
      </c>
      <c r="D30" s="8">
        <v>-0.7</v>
      </c>
      <c r="E30" s="80">
        <v>-0.7</v>
      </c>
      <c r="F30" s="31">
        <v>-1.6</v>
      </c>
      <c r="G30" s="31">
        <v>-0.7</v>
      </c>
      <c r="H30" s="9">
        <v>0.9</v>
      </c>
      <c r="I30" s="79">
        <v>0.9</v>
      </c>
      <c r="J30" s="33">
        <v>0.4</v>
      </c>
      <c r="K30" s="33">
        <v>0.9</v>
      </c>
      <c r="M30" s="24"/>
      <c r="O30" s="25"/>
    </row>
    <row r="31" spans="1:15" x14ac:dyDescent="0.25">
      <c r="A31" s="29">
        <v>1020875</v>
      </c>
      <c r="B31" s="29">
        <v>0.9</v>
      </c>
      <c r="C31" s="29">
        <v>1060</v>
      </c>
      <c r="D31" s="8">
        <v>-0.7</v>
      </c>
      <c r="E31" s="80">
        <v>-0.7</v>
      </c>
      <c r="F31" s="31">
        <v>-1.6</v>
      </c>
      <c r="G31" s="31">
        <v>-0.7</v>
      </c>
      <c r="H31" s="9">
        <v>0.9</v>
      </c>
      <c r="I31" s="79">
        <v>0.9</v>
      </c>
      <c r="J31" s="33">
        <v>0.4</v>
      </c>
      <c r="K31" s="33">
        <v>0.9</v>
      </c>
      <c r="M31" s="24"/>
      <c r="O31" s="25"/>
    </row>
    <row r="32" spans="1:15" x14ac:dyDescent="0.25">
      <c r="A32" s="29">
        <v>1020681</v>
      </c>
      <c r="B32" s="29">
        <v>0.96</v>
      </c>
      <c r="C32" s="29">
        <v>385</v>
      </c>
      <c r="D32" s="8">
        <v>-1</v>
      </c>
      <c r="E32" s="80">
        <v>-1</v>
      </c>
      <c r="F32" s="31">
        <v>-1.55</v>
      </c>
      <c r="G32" s="31">
        <v>-0.65</v>
      </c>
      <c r="H32" s="9">
        <v>0.75</v>
      </c>
      <c r="I32" s="79">
        <v>0.75</v>
      </c>
      <c r="J32" s="33">
        <v>0.45</v>
      </c>
      <c r="K32" s="33">
        <v>0.95</v>
      </c>
      <c r="M32" s="24"/>
      <c r="O32" s="25"/>
    </row>
    <row r="33" spans="1:15" x14ac:dyDescent="0.25">
      <c r="A33" s="29">
        <v>1020796</v>
      </c>
      <c r="B33" s="29">
        <v>1</v>
      </c>
      <c r="C33" s="29">
        <v>1060</v>
      </c>
      <c r="D33" s="8">
        <v>-1.1000000000000001</v>
      </c>
      <c r="E33" s="80">
        <v>-1.1000000000000001</v>
      </c>
      <c r="F33" s="31">
        <v>-1.5</v>
      </c>
      <c r="G33" s="31">
        <v>-0.6</v>
      </c>
      <c r="H33" s="9">
        <v>0.9</v>
      </c>
      <c r="I33" s="79">
        <v>0.9</v>
      </c>
      <c r="J33" s="33">
        <v>0.5</v>
      </c>
      <c r="K33" s="33">
        <v>1</v>
      </c>
      <c r="M33" s="24"/>
      <c r="O33" s="25"/>
    </row>
    <row r="34" spans="1:15" x14ac:dyDescent="0.25">
      <c r="A34" s="29"/>
      <c r="B34" s="29"/>
      <c r="C34" s="29"/>
      <c r="D34" s="8"/>
      <c r="E34" s="34"/>
      <c r="F34" s="31"/>
      <c r="G34" s="31"/>
      <c r="H34" s="9"/>
      <c r="I34" s="35"/>
      <c r="J34" s="33"/>
      <c r="K34" s="33"/>
      <c r="M34" s="24"/>
      <c r="O34" s="25"/>
    </row>
    <row r="35" spans="1:15" x14ac:dyDescent="0.25">
      <c r="A35" s="29"/>
      <c r="B35" s="29"/>
      <c r="C35" s="29"/>
      <c r="D35" s="8"/>
      <c r="E35" s="34"/>
      <c r="F35" s="31"/>
      <c r="G35" s="31"/>
      <c r="H35" s="9"/>
      <c r="I35" s="35"/>
      <c r="J35" s="33"/>
      <c r="K35" s="33"/>
      <c r="M35" s="24"/>
      <c r="O35" s="25"/>
    </row>
    <row r="36" spans="1:15" x14ac:dyDescent="0.25">
      <c r="A36" s="29"/>
      <c r="B36" s="29"/>
      <c r="C36" s="29"/>
      <c r="D36" s="8"/>
      <c r="E36" s="34"/>
      <c r="F36" s="31"/>
      <c r="G36" s="31"/>
      <c r="H36" s="9"/>
      <c r="I36" s="35"/>
      <c r="J36" s="33"/>
      <c r="K36" s="33"/>
      <c r="M36" s="24"/>
      <c r="O36" s="25"/>
    </row>
    <row r="37" spans="1:15" x14ac:dyDescent="0.25">
      <c r="A37" s="29"/>
      <c r="B37" s="29"/>
      <c r="C37" s="29"/>
      <c r="D37" s="8"/>
      <c r="E37" s="34"/>
      <c r="F37" s="31"/>
      <c r="G37" s="31"/>
      <c r="H37" s="9"/>
      <c r="I37" s="35"/>
      <c r="J37" s="33"/>
      <c r="K37" s="33"/>
      <c r="M37" s="24"/>
      <c r="O37" s="25"/>
    </row>
    <row r="38" spans="1:15" x14ac:dyDescent="0.25">
      <c r="A38" s="29"/>
      <c r="B38" s="29"/>
      <c r="C38" s="29"/>
      <c r="D38" s="8"/>
      <c r="E38" s="34"/>
      <c r="F38" s="31"/>
      <c r="G38" s="31"/>
      <c r="H38" s="9"/>
      <c r="I38" s="35"/>
      <c r="J38" s="33"/>
      <c r="K38" s="33"/>
      <c r="M38" s="24"/>
      <c r="O38" s="25"/>
    </row>
    <row r="39" spans="1:15" x14ac:dyDescent="0.25">
      <c r="A39" s="29"/>
      <c r="B39" s="29"/>
      <c r="C39" s="29"/>
      <c r="D39" s="8"/>
      <c r="E39" s="34"/>
      <c r="F39" s="31"/>
      <c r="G39" s="31"/>
      <c r="H39" s="9"/>
      <c r="I39" s="35"/>
      <c r="J39" s="33"/>
      <c r="K39" s="33"/>
      <c r="M39" s="24"/>
      <c r="O39" s="25"/>
    </row>
    <row r="40" spans="1:15" x14ac:dyDescent="0.25">
      <c r="A40" s="29"/>
      <c r="B40" s="29"/>
      <c r="C40" s="29"/>
      <c r="D40" s="8"/>
      <c r="E40" s="34"/>
      <c r="F40" s="31"/>
      <c r="G40" s="31"/>
      <c r="H40" s="9"/>
      <c r="I40" s="35"/>
      <c r="J40" s="33"/>
      <c r="K40" s="33"/>
      <c r="M40" s="24"/>
      <c r="O40" s="25"/>
    </row>
    <row r="41" spans="1:15" x14ac:dyDescent="0.25">
      <c r="A41" s="29"/>
      <c r="B41" s="29"/>
      <c r="C41" s="29"/>
      <c r="D41" s="8"/>
      <c r="E41" s="34"/>
      <c r="F41" s="31"/>
      <c r="G41" s="31"/>
      <c r="H41" s="9"/>
      <c r="I41" s="35"/>
      <c r="J41" s="33"/>
      <c r="K41" s="33"/>
      <c r="M41" s="24"/>
      <c r="O41" s="25"/>
    </row>
    <row r="42" spans="1:15" x14ac:dyDescent="0.25">
      <c r="A42" s="29"/>
      <c r="B42" s="29"/>
      <c r="C42" s="29"/>
      <c r="D42" s="8"/>
      <c r="E42" s="34"/>
      <c r="F42" s="31"/>
      <c r="G42" s="31"/>
      <c r="H42" s="9"/>
      <c r="I42" s="35"/>
      <c r="J42" s="33"/>
      <c r="K42" s="33"/>
      <c r="M42" s="24"/>
      <c r="O42" s="25"/>
    </row>
    <row r="43" spans="1:15" x14ac:dyDescent="0.25">
      <c r="A43" s="29"/>
      <c r="B43" s="29"/>
      <c r="C43" s="29"/>
      <c r="D43" s="8"/>
      <c r="E43" s="34"/>
      <c r="F43" s="31"/>
      <c r="G43" s="31"/>
      <c r="H43" s="9"/>
      <c r="I43" s="35"/>
      <c r="J43" s="33"/>
      <c r="K43" s="33"/>
      <c r="M43" s="24"/>
      <c r="O43" s="25"/>
    </row>
    <row r="44" spans="1:15" x14ac:dyDescent="0.25">
      <c r="A44" s="29"/>
      <c r="B44" s="29"/>
      <c r="C44" s="29"/>
      <c r="D44" s="8"/>
      <c r="E44" s="34"/>
      <c r="F44" s="31"/>
      <c r="G44" s="31"/>
      <c r="H44" s="9"/>
      <c r="I44" s="35"/>
      <c r="J44" s="33"/>
      <c r="K44" s="33"/>
      <c r="M44" s="24"/>
      <c r="O44" s="25"/>
    </row>
    <row r="45" spans="1:15" x14ac:dyDescent="0.25">
      <c r="A45" s="29"/>
      <c r="B45" s="29"/>
      <c r="C45" s="29"/>
      <c r="D45" s="8"/>
      <c r="E45" s="34"/>
      <c r="F45" s="31"/>
      <c r="G45" s="31"/>
      <c r="H45" s="9"/>
      <c r="I45" s="35"/>
      <c r="J45" s="33"/>
      <c r="K45" s="33"/>
      <c r="M45" s="24"/>
      <c r="O45" s="25"/>
    </row>
    <row r="46" spans="1:15" x14ac:dyDescent="0.25">
      <c r="A46" s="29"/>
      <c r="B46" s="29"/>
      <c r="C46" s="29"/>
      <c r="D46" s="8"/>
      <c r="E46" s="34"/>
      <c r="F46" s="31"/>
      <c r="G46" s="31"/>
      <c r="H46" s="9"/>
      <c r="I46" s="35"/>
      <c r="J46" s="33"/>
      <c r="K46" s="33"/>
      <c r="M46" s="24"/>
      <c r="O46" s="25"/>
    </row>
    <row r="47" spans="1:15" x14ac:dyDescent="0.25">
      <c r="A47" s="29"/>
      <c r="B47" s="29"/>
      <c r="C47" s="29"/>
      <c r="D47" s="8"/>
      <c r="E47" s="34"/>
      <c r="F47" s="31"/>
      <c r="G47" s="31"/>
      <c r="H47" s="9"/>
      <c r="I47" s="35"/>
      <c r="J47" s="33"/>
      <c r="K47" s="33"/>
      <c r="M47" s="24"/>
      <c r="O47" s="25"/>
    </row>
    <row r="48" spans="1:15" x14ac:dyDescent="0.25">
      <c r="A48" s="29"/>
      <c r="B48" s="29"/>
      <c r="C48" s="29"/>
      <c r="D48" s="8"/>
      <c r="E48" s="34"/>
      <c r="F48" s="31"/>
      <c r="G48" s="31"/>
      <c r="H48" s="9"/>
      <c r="I48" s="35"/>
      <c r="J48" s="33"/>
      <c r="K48" s="33"/>
      <c r="M48" s="24"/>
      <c r="O48" s="25"/>
    </row>
    <row r="49" spans="1:15" x14ac:dyDescent="0.25">
      <c r="A49" s="29"/>
      <c r="B49" s="29"/>
      <c r="C49" s="29"/>
      <c r="D49" s="8"/>
      <c r="E49" s="34"/>
      <c r="F49" s="31"/>
      <c r="G49" s="31"/>
      <c r="H49" s="9"/>
      <c r="I49" s="35"/>
      <c r="J49" s="33"/>
      <c r="K49" s="33"/>
      <c r="M49" s="24"/>
      <c r="O49" s="25"/>
    </row>
    <row r="50" spans="1:15" x14ac:dyDescent="0.25">
      <c r="A50" s="29"/>
      <c r="B50" s="29"/>
      <c r="C50" s="29"/>
      <c r="D50" s="8"/>
      <c r="E50" s="34"/>
      <c r="F50" s="31"/>
      <c r="G50" s="31"/>
      <c r="H50" s="9"/>
      <c r="I50" s="35"/>
      <c r="J50" s="33"/>
      <c r="K50" s="33"/>
      <c r="M50" s="24"/>
      <c r="O50" s="25"/>
    </row>
    <row r="51" spans="1:15" x14ac:dyDescent="0.25">
      <c r="A51" s="29"/>
      <c r="B51" s="29"/>
      <c r="C51" s="29"/>
      <c r="D51" s="8"/>
      <c r="E51" s="34"/>
      <c r="F51" s="31"/>
      <c r="G51" s="31"/>
      <c r="H51" s="9"/>
      <c r="I51" s="35"/>
      <c r="J51" s="33"/>
      <c r="K51" s="33"/>
      <c r="M51" s="24"/>
      <c r="O51" s="25"/>
    </row>
    <row r="52" spans="1:15" x14ac:dyDescent="0.25">
      <c r="A52" s="29"/>
      <c r="B52" s="29"/>
      <c r="C52" s="29"/>
      <c r="D52" s="8"/>
      <c r="E52" s="34"/>
      <c r="F52" s="31"/>
      <c r="G52" s="31"/>
      <c r="H52" s="9"/>
      <c r="I52" s="35"/>
      <c r="J52" s="33"/>
      <c r="K52" s="33"/>
      <c r="M52" s="24"/>
      <c r="O52" s="25"/>
    </row>
    <row r="53" spans="1:15" x14ac:dyDescent="0.25">
      <c r="A53" s="29"/>
      <c r="B53" s="29"/>
      <c r="C53" s="29"/>
      <c r="D53" s="8"/>
      <c r="E53" s="34"/>
      <c r="F53" s="31"/>
      <c r="G53" s="31"/>
      <c r="H53" s="9"/>
      <c r="I53" s="35"/>
      <c r="J53" s="33"/>
      <c r="K53" s="33"/>
      <c r="M53" s="24"/>
      <c r="O53" s="25"/>
    </row>
    <row r="54" spans="1:15" x14ac:dyDescent="0.25">
      <c r="A54" s="29"/>
      <c r="B54" s="29"/>
      <c r="C54" s="29"/>
      <c r="D54" s="8"/>
      <c r="E54" s="34"/>
      <c r="F54" s="31"/>
      <c r="G54" s="31"/>
      <c r="H54" s="9"/>
      <c r="I54" s="35"/>
      <c r="J54" s="33"/>
      <c r="K54" s="33"/>
      <c r="M54" s="24"/>
      <c r="O54" s="25"/>
    </row>
    <row r="55" spans="1:15" x14ac:dyDescent="0.25">
      <c r="A55" s="29"/>
      <c r="B55" s="29"/>
      <c r="C55" s="29"/>
      <c r="D55" s="8"/>
      <c r="E55" s="34"/>
      <c r="F55" s="31"/>
      <c r="G55" s="31"/>
      <c r="H55" s="9"/>
      <c r="I55" s="35"/>
      <c r="J55" s="33"/>
      <c r="K55" s="33"/>
      <c r="M55" s="24"/>
      <c r="O55" s="25"/>
    </row>
    <row r="56" spans="1:15" x14ac:dyDescent="0.25">
      <c r="A56" s="29"/>
      <c r="B56" s="29"/>
      <c r="C56" s="29"/>
      <c r="D56" s="8"/>
      <c r="E56" s="34"/>
      <c r="F56" s="31"/>
      <c r="G56" s="31"/>
      <c r="H56" s="9"/>
      <c r="I56" s="35"/>
      <c r="J56" s="33"/>
      <c r="K56" s="33"/>
      <c r="M56" s="24"/>
      <c r="O56" s="25"/>
    </row>
    <row r="57" spans="1:15" x14ac:dyDescent="0.25">
      <c r="A57" s="7"/>
      <c r="B57" s="7"/>
      <c r="C57" s="7"/>
      <c r="D57" s="8"/>
      <c r="E57" s="15"/>
      <c r="F57" s="31"/>
      <c r="G57" s="31"/>
      <c r="H57" s="9"/>
      <c r="I57" s="16"/>
      <c r="J57" s="33"/>
      <c r="K57" s="33"/>
      <c r="M57" s="24"/>
      <c r="O57" s="25"/>
    </row>
    <row r="58" spans="1:15" x14ac:dyDescent="0.25">
      <c r="A58" s="7"/>
      <c r="B58" s="7"/>
      <c r="C58" s="7"/>
      <c r="D58" s="8"/>
      <c r="E58" s="15"/>
      <c r="F58" s="31"/>
      <c r="G58" s="31"/>
      <c r="H58" s="9"/>
      <c r="I58" s="16"/>
      <c r="J58" s="33"/>
      <c r="K58" s="33"/>
      <c r="M58" s="24"/>
      <c r="O58" s="25"/>
    </row>
    <row r="59" spans="1:15" x14ac:dyDescent="0.25">
      <c r="A59" s="7"/>
      <c r="B59" s="7"/>
      <c r="C59" s="7"/>
      <c r="D59" s="8"/>
      <c r="E59" s="15"/>
      <c r="F59" s="31"/>
      <c r="G59" s="31"/>
      <c r="H59" s="9"/>
      <c r="I59" s="16"/>
      <c r="J59" s="33"/>
      <c r="K59" s="33"/>
      <c r="M59" s="24"/>
      <c r="O59" s="25"/>
    </row>
    <row r="60" spans="1:15" x14ac:dyDescent="0.25">
      <c r="A60" s="7"/>
      <c r="B60" s="7"/>
      <c r="C60" s="7"/>
      <c r="D60" s="8"/>
      <c r="E60" s="15"/>
      <c r="F60" s="31"/>
      <c r="G60" s="31"/>
      <c r="H60" s="9"/>
      <c r="I60" s="16"/>
      <c r="J60" s="33"/>
      <c r="K60" s="33"/>
      <c r="M60" s="24"/>
      <c r="O60" s="25"/>
    </row>
    <row r="61" spans="1:15" x14ac:dyDescent="0.25">
      <c r="A61" s="7"/>
      <c r="B61" s="7"/>
      <c r="C61" s="7"/>
      <c r="D61" s="8"/>
      <c r="E61" s="15"/>
      <c r="F61" s="31"/>
      <c r="G61" s="31"/>
      <c r="H61" s="9"/>
      <c r="I61" s="16"/>
      <c r="J61" s="33"/>
      <c r="K61" s="33"/>
      <c r="M61" s="24"/>
      <c r="O61" s="25"/>
    </row>
    <row r="62" spans="1:15" x14ac:dyDescent="0.25">
      <c r="A62" s="7"/>
      <c r="B62" s="7"/>
      <c r="C62" s="7"/>
      <c r="D62" s="8"/>
      <c r="E62" s="15"/>
      <c r="F62" s="31"/>
      <c r="G62" s="31"/>
      <c r="H62" s="9"/>
      <c r="I62" s="16"/>
      <c r="J62" s="33"/>
      <c r="K62" s="33"/>
      <c r="M62" s="24"/>
      <c r="O62" s="25"/>
    </row>
    <row r="63" spans="1:15" x14ac:dyDescent="0.25">
      <c r="A63" s="7"/>
      <c r="B63" s="7"/>
      <c r="C63" s="7"/>
      <c r="D63" s="8"/>
      <c r="E63" s="15"/>
      <c r="F63" s="31"/>
      <c r="G63" s="31"/>
      <c r="H63" s="9"/>
      <c r="I63" s="16"/>
      <c r="J63" s="33"/>
      <c r="K63" s="33"/>
      <c r="M63" s="24"/>
      <c r="O63" s="25"/>
    </row>
    <row r="64" spans="1:15" x14ac:dyDescent="0.25">
      <c r="A64" s="29"/>
      <c r="B64" s="29"/>
      <c r="C64" s="29"/>
      <c r="D64" s="8"/>
      <c r="E64" s="34"/>
      <c r="F64" s="31"/>
      <c r="G64" s="31"/>
      <c r="H64" s="9"/>
      <c r="I64" s="35"/>
      <c r="J64" s="33"/>
      <c r="K64" s="33"/>
      <c r="M64" s="24"/>
      <c r="O64" s="25"/>
    </row>
    <row r="65" spans="1:15" x14ac:dyDescent="0.25">
      <c r="A65" s="29"/>
      <c r="B65" s="29"/>
      <c r="C65" s="29"/>
      <c r="D65" s="8"/>
      <c r="E65" s="34"/>
      <c r="F65" s="31"/>
      <c r="G65" s="31"/>
      <c r="H65" s="9"/>
      <c r="I65" s="35"/>
      <c r="J65" s="33"/>
      <c r="K65" s="33"/>
      <c r="M65" s="24"/>
      <c r="O65" s="25"/>
    </row>
    <row r="66" spans="1:15" x14ac:dyDescent="0.25">
      <c r="A66" s="29"/>
      <c r="B66" s="29"/>
      <c r="C66" s="29"/>
      <c r="D66" s="8"/>
      <c r="E66" s="34"/>
      <c r="F66" s="31"/>
      <c r="G66" s="31"/>
      <c r="H66" s="9"/>
      <c r="I66" s="35"/>
      <c r="J66" s="33"/>
      <c r="K66" s="33"/>
      <c r="M66" s="24"/>
      <c r="O66" s="25"/>
    </row>
    <row r="67" spans="1:15" x14ac:dyDescent="0.25">
      <c r="A67" s="29"/>
      <c r="B67" s="29"/>
      <c r="C67" s="29"/>
      <c r="D67" s="8"/>
      <c r="E67" s="34"/>
      <c r="F67" s="31"/>
      <c r="G67" s="31"/>
      <c r="H67" s="9"/>
      <c r="I67" s="35"/>
      <c r="J67" s="33"/>
      <c r="K67" s="33"/>
      <c r="M67" s="24"/>
      <c r="O67" s="25"/>
    </row>
    <row r="68" spans="1:15" x14ac:dyDescent="0.25">
      <c r="A68" s="29"/>
      <c r="B68" s="29"/>
      <c r="C68" s="29"/>
      <c r="D68" s="8"/>
      <c r="E68" s="34"/>
      <c r="F68" s="31"/>
      <c r="G68" s="31"/>
      <c r="H68" s="9"/>
      <c r="I68" s="35"/>
      <c r="J68" s="33"/>
      <c r="K68" s="33"/>
      <c r="M68" s="24"/>
      <c r="O68" s="25"/>
    </row>
    <row r="69" spans="1:15" x14ac:dyDescent="0.25">
      <c r="A69" s="29"/>
      <c r="B69" s="29"/>
      <c r="C69" s="29"/>
      <c r="D69" s="8"/>
      <c r="E69" s="34"/>
      <c r="F69" s="31"/>
      <c r="G69" s="31"/>
      <c r="H69" s="9"/>
      <c r="I69" s="35"/>
      <c r="J69" s="33"/>
      <c r="K69" s="33"/>
      <c r="M69" s="24"/>
      <c r="O69" s="25"/>
    </row>
    <row r="70" spans="1:15" x14ac:dyDescent="0.25">
      <c r="A70" s="29"/>
      <c r="B70" s="29"/>
      <c r="C70" s="29"/>
      <c r="D70" s="8"/>
      <c r="E70" s="34"/>
      <c r="F70" s="31"/>
      <c r="G70" s="31"/>
      <c r="H70" s="9"/>
      <c r="I70" s="35"/>
      <c r="J70" s="33"/>
      <c r="K70" s="33"/>
      <c r="M70" s="24"/>
      <c r="O70" s="25"/>
    </row>
    <row r="71" spans="1:15" x14ac:dyDescent="0.25">
      <c r="A71" s="29"/>
      <c r="B71" s="29"/>
      <c r="C71" s="29"/>
      <c r="D71" s="8"/>
      <c r="E71" s="34"/>
      <c r="F71" s="31"/>
      <c r="G71" s="31"/>
      <c r="H71" s="9"/>
      <c r="I71" s="35"/>
      <c r="J71" s="33"/>
      <c r="K71" s="33"/>
      <c r="M71" s="24"/>
      <c r="O71" s="25"/>
    </row>
    <row r="72" spans="1:15" x14ac:dyDescent="0.25">
      <c r="A72" s="29"/>
      <c r="B72" s="29"/>
      <c r="C72" s="29"/>
      <c r="D72" s="8"/>
      <c r="E72" s="34"/>
      <c r="F72" s="31"/>
      <c r="G72" s="31"/>
      <c r="H72" s="9"/>
      <c r="I72" s="35"/>
      <c r="J72" s="33"/>
      <c r="K72" s="33"/>
      <c r="M72" s="24"/>
      <c r="O72" s="25"/>
    </row>
    <row r="73" spans="1:15" x14ac:dyDescent="0.25">
      <c r="A73" s="29"/>
      <c r="B73" s="29"/>
      <c r="C73" s="29"/>
      <c r="D73" s="8"/>
      <c r="E73" s="34"/>
      <c r="F73" s="31"/>
      <c r="G73" s="31"/>
      <c r="H73" s="9"/>
      <c r="I73" s="35"/>
      <c r="J73" s="33"/>
      <c r="K73" s="33"/>
      <c r="M73" s="24"/>
      <c r="O73" s="25"/>
    </row>
    <row r="74" spans="1:15" x14ac:dyDescent="0.25">
      <c r="A74" s="29"/>
      <c r="B74" s="29"/>
      <c r="C74" s="29"/>
      <c r="D74" s="8"/>
      <c r="E74" s="34"/>
      <c r="F74" s="31"/>
      <c r="G74" s="31"/>
      <c r="H74" s="9"/>
      <c r="I74" s="35"/>
      <c r="J74" s="33"/>
      <c r="K74" s="33"/>
      <c r="M74" s="24"/>
      <c r="O74" s="25"/>
    </row>
    <row r="75" spans="1:15" x14ac:dyDescent="0.25">
      <c r="A75" s="29"/>
      <c r="B75" s="29"/>
      <c r="C75" s="29"/>
      <c r="D75" s="8"/>
      <c r="E75" s="34"/>
      <c r="F75" s="31"/>
      <c r="G75" s="31"/>
      <c r="H75" s="9"/>
      <c r="I75" s="35"/>
      <c r="J75" s="33"/>
      <c r="K75" s="33"/>
      <c r="M75" s="24"/>
      <c r="O75" s="25"/>
    </row>
    <row r="76" spans="1:15" x14ac:dyDescent="0.25">
      <c r="A76" s="29"/>
      <c r="B76" s="29"/>
      <c r="C76" s="29"/>
      <c r="D76" s="8"/>
      <c r="E76" s="34"/>
      <c r="F76" s="31"/>
      <c r="G76" s="31"/>
      <c r="H76" s="9"/>
      <c r="I76" s="35"/>
      <c r="J76" s="33"/>
      <c r="K76" s="33"/>
      <c r="M76" s="24"/>
      <c r="O76" s="25"/>
    </row>
    <row r="77" spans="1:15" x14ac:dyDescent="0.25">
      <c r="A77" s="29"/>
      <c r="B77" s="29"/>
      <c r="C77" s="29"/>
      <c r="D77" s="8"/>
      <c r="E77" s="34"/>
      <c r="F77" s="31"/>
      <c r="G77" s="31"/>
      <c r="H77" s="9"/>
      <c r="I77" s="35"/>
      <c r="J77" s="33"/>
      <c r="K77" s="33"/>
      <c r="M77" s="24"/>
      <c r="O77" s="25"/>
    </row>
    <row r="78" spans="1:15" x14ac:dyDescent="0.25">
      <c r="A78" s="29"/>
      <c r="B78" s="29"/>
      <c r="C78" s="29"/>
      <c r="D78" s="8"/>
      <c r="E78" s="34"/>
      <c r="F78" s="31"/>
      <c r="G78" s="31"/>
      <c r="H78" s="9"/>
      <c r="I78" s="35"/>
      <c r="J78" s="33"/>
      <c r="K78" s="33"/>
      <c r="M78" s="24"/>
      <c r="O78" s="25"/>
    </row>
    <row r="79" spans="1:15" x14ac:dyDescent="0.25">
      <c r="A79" s="29"/>
      <c r="B79" s="29"/>
      <c r="C79" s="29"/>
      <c r="D79" s="8"/>
      <c r="E79" s="34"/>
      <c r="F79" s="31"/>
      <c r="G79" s="31"/>
      <c r="H79" s="9"/>
      <c r="I79" s="35"/>
      <c r="J79" s="33"/>
      <c r="K79" s="33"/>
      <c r="M79" s="24"/>
      <c r="O79" s="25"/>
    </row>
    <row r="80" spans="1:15" x14ac:dyDescent="0.25">
      <c r="A80" s="29"/>
      <c r="B80" s="29"/>
      <c r="C80" s="29"/>
      <c r="D80" s="8"/>
      <c r="E80" s="34"/>
      <c r="F80" s="31"/>
      <c r="G80" s="31"/>
      <c r="H80" s="9"/>
      <c r="I80" s="35"/>
      <c r="J80" s="33"/>
      <c r="K80" s="33"/>
      <c r="M80" s="24"/>
      <c r="O80" s="25"/>
    </row>
    <row r="81" spans="1:15" x14ac:dyDescent="0.25">
      <c r="A81" s="29"/>
      <c r="B81" s="29"/>
      <c r="C81" s="29"/>
      <c r="D81" s="8"/>
      <c r="E81" s="34"/>
      <c r="F81" s="31"/>
      <c r="G81" s="31"/>
      <c r="H81" s="9"/>
      <c r="I81" s="35"/>
      <c r="J81" s="33"/>
      <c r="K81" s="33"/>
      <c r="M81" s="24"/>
      <c r="O81" s="25"/>
    </row>
    <row r="82" spans="1:15" x14ac:dyDescent="0.25">
      <c r="A82" s="29"/>
      <c r="B82" s="29"/>
      <c r="C82" s="29"/>
      <c r="D82" s="8"/>
      <c r="E82" s="34"/>
      <c r="F82" s="31"/>
      <c r="G82" s="31"/>
      <c r="H82" s="9"/>
      <c r="I82" s="35"/>
      <c r="J82" s="33"/>
      <c r="K82" s="33"/>
      <c r="M82" s="24"/>
      <c r="O82" s="25"/>
    </row>
    <row r="83" spans="1:15" x14ac:dyDescent="0.25">
      <c r="A83" s="29"/>
      <c r="B83" s="29"/>
      <c r="C83" s="29"/>
      <c r="D83" s="8"/>
      <c r="E83" s="34"/>
      <c r="F83" s="31"/>
      <c r="G83" s="31"/>
      <c r="H83" s="9"/>
      <c r="I83" s="35"/>
      <c r="J83" s="33"/>
      <c r="K83" s="33"/>
      <c r="M83" s="24"/>
      <c r="O83" s="25"/>
    </row>
    <row r="84" spans="1:15" x14ac:dyDescent="0.25">
      <c r="A84" s="29"/>
      <c r="B84" s="29"/>
      <c r="C84" s="29"/>
      <c r="D84" s="8"/>
      <c r="E84" s="34"/>
      <c r="F84" s="31"/>
      <c r="G84" s="31"/>
      <c r="H84" s="9"/>
      <c r="I84" s="35"/>
      <c r="J84" s="33"/>
      <c r="K84" s="33"/>
      <c r="M84" s="24"/>
      <c r="O84" s="25"/>
    </row>
    <row r="85" spans="1:15" x14ac:dyDescent="0.25">
      <c r="A85" s="29"/>
      <c r="B85" s="29"/>
      <c r="C85" s="29"/>
      <c r="D85" s="8"/>
      <c r="E85" s="34"/>
      <c r="F85" s="31"/>
      <c r="G85" s="31"/>
      <c r="H85" s="9"/>
      <c r="I85" s="35"/>
      <c r="J85" s="33"/>
      <c r="K85" s="33"/>
      <c r="M85" s="24"/>
      <c r="O85" s="25"/>
    </row>
    <row r="86" spans="1:15" x14ac:dyDescent="0.25">
      <c r="A86" s="29"/>
      <c r="B86" s="29"/>
      <c r="C86" s="29"/>
      <c r="D86" s="8"/>
      <c r="E86" s="34"/>
      <c r="F86" s="31"/>
      <c r="G86" s="31"/>
      <c r="H86" s="9"/>
      <c r="I86" s="35"/>
      <c r="J86" s="33"/>
      <c r="K86" s="33"/>
      <c r="M86" s="24"/>
      <c r="O86" s="25"/>
    </row>
    <row r="87" spans="1:15" x14ac:dyDescent="0.25">
      <c r="A87" s="29"/>
      <c r="B87" s="29"/>
      <c r="C87" s="29"/>
      <c r="D87" s="8"/>
      <c r="E87" s="34"/>
      <c r="F87" s="31"/>
      <c r="G87" s="31"/>
      <c r="H87" s="9"/>
      <c r="I87" s="35"/>
      <c r="J87" s="33"/>
      <c r="K87" s="33"/>
      <c r="M87" s="24"/>
      <c r="O87" s="25"/>
    </row>
    <row r="88" spans="1:15" x14ac:dyDescent="0.25">
      <c r="A88" s="29"/>
      <c r="B88" s="29"/>
      <c r="C88" s="29"/>
      <c r="D88" s="8"/>
      <c r="E88" s="34"/>
      <c r="F88" s="31"/>
      <c r="G88" s="31"/>
      <c r="H88" s="9"/>
      <c r="I88" s="35"/>
      <c r="J88" s="33"/>
      <c r="K88" s="33"/>
      <c r="M88" s="24"/>
      <c r="O88" s="25"/>
    </row>
    <row r="89" spans="1:15" x14ac:dyDescent="0.25">
      <c r="A89" s="29"/>
      <c r="B89" s="29"/>
      <c r="C89" s="29"/>
      <c r="D89" s="8"/>
      <c r="E89" s="34"/>
      <c r="F89" s="31"/>
      <c r="G89" s="31"/>
      <c r="H89" s="9"/>
      <c r="I89" s="35"/>
      <c r="J89" s="33"/>
      <c r="K89" s="33"/>
      <c r="M89" s="24"/>
      <c r="O89" s="25"/>
    </row>
    <row r="90" spans="1:15" x14ac:dyDescent="0.25">
      <c r="A90" s="29"/>
      <c r="B90" s="29"/>
      <c r="C90" s="29"/>
      <c r="D90" s="8"/>
      <c r="E90" s="34"/>
      <c r="F90" s="31"/>
      <c r="G90" s="31"/>
      <c r="H90" s="9"/>
      <c r="I90" s="35"/>
      <c r="J90" s="33"/>
      <c r="K90" s="33"/>
      <c r="M90" s="24"/>
      <c r="O90" s="25"/>
    </row>
    <row r="91" spans="1:15" x14ac:dyDescent="0.25">
      <c r="A91" s="29"/>
      <c r="B91" s="29"/>
      <c r="C91" s="29"/>
      <c r="D91" s="8"/>
      <c r="E91" s="34"/>
      <c r="F91" s="31"/>
      <c r="G91" s="31"/>
      <c r="H91" s="9"/>
      <c r="I91" s="35"/>
      <c r="J91" s="33"/>
      <c r="K91" s="33"/>
      <c r="M91" s="24"/>
      <c r="O91" s="25"/>
    </row>
    <row r="92" spans="1:15" x14ac:dyDescent="0.25">
      <c r="A92" s="29"/>
      <c r="B92" s="29"/>
      <c r="C92" s="29"/>
      <c r="D92" s="8"/>
      <c r="E92" s="34"/>
      <c r="F92" s="31"/>
      <c r="G92" s="31"/>
      <c r="H92" s="9"/>
      <c r="I92" s="35"/>
      <c r="J92" s="33"/>
      <c r="K92" s="33"/>
      <c r="M92" s="24"/>
      <c r="O92" s="25"/>
    </row>
    <row r="93" spans="1:15" x14ac:dyDescent="0.25">
      <c r="A93" s="29"/>
      <c r="B93" s="29"/>
      <c r="C93" s="29"/>
      <c r="D93" s="8"/>
      <c r="E93" s="34"/>
      <c r="F93" s="31"/>
      <c r="G93" s="31"/>
      <c r="H93" s="9"/>
      <c r="I93" s="35"/>
      <c r="J93" s="33"/>
      <c r="K93" s="33"/>
      <c r="M93" s="24"/>
      <c r="O93" s="25"/>
    </row>
    <row r="94" spans="1:15" x14ac:dyDescent="0.25">
      <c r="A94" s="29"/>
      <c r="B94" s="29"/>
      <c r="C94" s="29"/>
      <c r="D94" s="8"/>
      <c r="E94" s="34"/>
      <c r="F94" s="31"/>
      <c r="G94" s="31"/>
      <c r="H94" s="9"/>
      <c r="I94" s="35"/>
      <c r="J94" s="33"/>
      <c r="K94" s="33"/>
      <c r="M94" s="24"/>
      <c r="O94" s="25"/>
    </row>
    <row r="95" spans="1:15" x14ac:dyDescent="0.25">
      <c r="A95" s="7"/>
      <c r="B95" s="7"/>
      <c r="C95" s="7"/>
      <c r="D95" s="8"/>
      <c r="E95" s="15"/>
      <c r="F95" s="17"/>
      <c r="G95" s="17"/>
      <c r="H95" s="9"/>
      <c r="I95" s="35"/>
      <c r="J95" s="20"/>
      <c r="K95" s="20"/>
      <c r="M95" s="24"/>
      <c r="O95" s="25"/>
    </row>
    <row r="96" spans="1:15" x14ac:dyDescent="0.25">
      <c r="A96" s="7"/>
      <c r="B96" s="7"/>
      <c r="C96" s="7"/>
      <c r="D96" s="8"/>
      <c r="E96" s="15"/>
      <c r="F96" s="17"/>
      <c r="G96" s="17"/>
      <c r="H96" s="9"/>
      <c r="I96" s="16"/>
      <c r="J96" s="20"/>
      <c r="K96" s="20"/>
      <c r="M96" s="24"/>
      <c r="O96" s="25"/>
    </row>
    <row r="97" spans="1:15" x14ac:dyDescent="0.25">
      <c r="A97" s="7"/>
      <c r="B97" s="7"/>
      <c r="C97" s="7"/>
      <c r="D97" s="8"/>
      <c r="E97" s="15"/>
      <c r="F97" s="17"/>
      <c r="G97" s="17"/>
      <c r="H97" s="9"/>
      <c r="I97" s="16"/>
      <c r="J97" s="20"/>
      <c r="K97" s="20"/>
      <c r="M97" s="24"/>
      <c r="O97" s="25"/>
    </row>
    <row r="98" spans="1:15" x14ac:dyDescent="0.25">
      <c r="A98" s="7"/>
      <c r="B98" s="7"/>
      <c r="C98" s="7"/>
      <c r="D98" s="8"/>
      <c r="E98" s="15"/>
      <c r="F98" s="17"/>
      <c r="G98" s="17"/>
      <c r="H98" s="9"/>
      <c r="I98" s="16"/>
      <c r="J98" s="20"/>
      <c r="K98" s="20"/>
      <c r="M98" s="24"/>
      <c r="O98" s="25"/>
    </row>
    <row r="99" spans="1:15" x14ac:dyDescent="0.25">
      <c r="A99" s="29"/>
      <c r="B99" s="29"/>
      <c r="C99" s="29"/>
      <c r="D99" s="8"/>
      <c r="E99" s="34"/>
      <c r="F99" s="31"/>
      <c r="G99" s="31"/>
      <c r="H99" s="9"/>
      <c r="I99" s="35"/>
      <c r="J99" s="33"/>
      <c r="K99" s="33"/>
      <c r="M99" s="24"/>
      <c r="O99" s="25"/>
    </row>
    <row r="100" spans="1:15" x14ac:dyDescent="0.25">
      <c r="A100" s="29"/>
      <c r="B100" s="29"/>
      <c r="C100" s="29"/>
      <c r="D100" s="8"/>
      <c r="E100" s="34"/>
      <c r="F100" s="31"/>
      <c r="G100" s="31"/>
      <c r="H100" s="9"/>
      <c r="I100" s="35"/>
      <c r="J100" s="33"/>
      <c r="K100" s="33"/>
      <c r="M100" s="24"/>
      <c r="O100" s="25"/>
    </row>
    <row r="101" spans="1:15" x14ac:dyDescent="0.25">
      <c r="A101" s="29"/>
      <c r="B101" s="29"/>
      <c r="C101" s="29"/>
      <c r="D101" s="8"/>
      <c r="E101" s="34"/>
      <c r="F101" s="31"/>
      <c r="G101" s="31"/>
      <c r="H101" s="9"/>
      <c r="I101" s="35"/>
      <c r="J101" s="33"/>
      <c r="K101" s="33"/>
      <c r="M101" s="24"/>
      <c r="O101" s="25"/>
    </row>
    <row r="102" spans="1:15" x14ac:dyDescent="0.25">
      <c r="A102" s="29"/>
      <c r="B102" s="29"/>
      <c r="C102" s="29"/>
      <c r="D102" s="8"/>
      <c r="E102" s="34"/>
      <c r="F102" s="31"/>
      <c r="G102" s="31"/>
      <c r="H102" s="9"/>
      <c r="I102" s="35"/>
      <c r="J102" s="33"/>
      <c r="K102" s="33"/>
      <c r="M102" s="24"/>
      <c r="O102" s="25"/>
    </row>
    <row r="103" spans="1:15" x14ac:dyDescent="0.25">
      <c r="A103" s="29"/>
      <c r="B103" s="29"/>
      <c r="C103" s="29"/>
      <c r="D103" s="8"/>
      <c r="E103" s="34"/>
      <c r="F103" s="31"/>
      <c r="G103" s="31"/>
      <c r="H103" s="9"/>
      <c r="I103" s="35"/>
      <c r="J103" s="33"/>
      <c r="K103" s="33"/>
      <c r="M103" s="24"/>
      <c r="O103" s="25"/>
    </row>
    <row r="104" spans="1:15" x14ac:dyDescent="0.25">
      <c r="A104" s="29"/>
      <c r="B104" s="29"/>
      <c r="C104" s="29"/>
      <c r="D104" s="8"/>
      <c r="E104" s="34"/>
      <c r="F104" s="31"/>
      <c r="G104" s="31"/>
      <c r="H104" s="9"/>
      <c r="I104" s="35"/>
      <c r="J104" s="33"/>
      <c r="K104" s="33"/>
      <c r="M104" s="24"/>
      <c r="O104" s="25"/>
    </row>
    <row r="105" spans="1:15" x14ac:dyDescent="0.25">
      <c r="A105" s="29"/>
      <c r="B105" s="29"/>
      <c r="C105" s="29"/>
      <c r="D105" s="8"/>
      <c r="E105" s="34"/>
      <c r="F105" s="31"/>
      <c r="G105" s="31"/>
      <c r="H105" s="9"/>
      <c r="I105" s="35"/>
      <c r="J105" s="33"/>
      <c r="K105" s="33"/>
      <c r="M105" s="24"/>
      <c r="O105" s="25"/>
    </row>
    <row r="106" spans="1:15" x14ac:dyDescent="0.25">
      <c r="A106" s="29"/>
      <c r="B106" s="29"/>
      <c r="C106" s="29"/>
      <c r="D106" s="8"/>
      <c r="E106" s="34"/>
      <c r="F106" s="31"/>
      <c r="G106" s="31"/>
      <c r="H106" s="9"/>
      <c r="I106" s="35"/>
      <c r="J106" s="33"/>
      <c r="K106" s="33"/>
      <c r="M106" s="24"/>
      <c r="O106" s="25"/>
    </row>
    <row r="107" spans="1:15" x14ac:dyDescent="0.25">
      <c r="A107" s="29"/>
      <c r="B107" s="29"/>
      <c r="C107" s="29"/>
      <c r="D107" s="8"/>
      <c r="E107" s="34"/>
      <c r="F107" s="31"/>
      <c r="G107" s="31"/>
      <c r="H107" s="9"/>
      <c r="I107" s="35"/>
      <c r="J107" s="33"/>
      <c r="K107" s="33"/>
      <c r="M107" s="24"/>
      <c r="O107" s="25"/>
    </row>
    <row r="108" spans="1:15" x14ac:dyDescent="0.25">
      <c r="A108" s="29"/>
      <c r="B108" s="29"/>
      <c r="C108" s="29"/>
      <c r="D108" s="8"/>
      <c r="E108" s="34"/>
      <c r="F108" s="31"/>
      <c r="G108" s="31"/>
      <c r="H108" s="9"/>
      <c r="I108" s="35"/>
      <c r="J108" s="33"/>
      <c r="K108" s="33"/>
      <c r="M108" s="24"/>
      <c r="O108" s="25"/>
    </row>
    <row r="109" spans="1:15" x14ac:dyDescent="0.25">
      <c r="A109" s="29"/>
      <c r="B109" s="29"/>
      <c r="C109" s="29"/>
      <c r="D109" s="8"/>
      <c r="E109" s="34"/>
      <c r="F109" s="31"/>
      <c r="G109" s="31"/>
      <c r="H109" s="9"/>
      <c r="I109" s="35"/>
      <c r="J109" s="33"/>
      <c r="K109" s="33"/>
      <c r="M109" s="24"/>
      <c r="O109" s="25"/>
    </row>
    <row r="110" spans="1:15" x14ac:dyDescent="0.25">
      <c r="A110" s="29"/>
      <c r="B110" s="29"/>
      <c r="C110" s="29"/>
      <c r="D110" s="8"/>
      <c r="E110" s="34"/>
      <c r="F110" s="31"/>
      <c r="G110" s="31"/>
      <c r="H110" s="9"/>
      <c r="I110" s="35"/>
      <c r="J110" s="33"/>
      <c r="K110" s="33"/>
      <c r="M110" s="24"/>
      <c r="O110" s="25"/>
    </row>
    <row r="111" spans="1:15" x14ac:dyDescent="0.25">
      <c r="A111" s="29"/>
      <c r="B111" s="29"/>
      <c r="C111" s="29"/>
      <c r="D111" s="8"/>
      <c r="E111" s="34"/>
      <c r="F111" s="31"/>
      <c r="G111" s="31"/>
      <c r="H111" s="9"/>
      <c r="I111" s="35"/>
      <c r="J111" s="33"/>
      <c r="K111" s="33"/>
      <c r="M111" s="24"/>
      <c r="O111" s="25"/>
    </row>
    <row r="112" spans="1:15" x14ac:dyDescent="0.25">
      <c r="A112" s="29"/>
      <c r="B112" s="29"/>
      <c r="C112" s="29"/>
      <c r="D112" s="8"/>
      <c r="E112" s="34"/>
      <c r="F112" s="31"/>
      <c r="G112" s="31"/>
      <c r="H112" s="9"/>
      <c r="I112" s="35"/>
      <c r="J112" s="33"/>
      <c r="K112" s="33"/>
      <c r="M112" s="24"/>
      <c r="O112" s="25"/>
    </row>
    <row r="113" spans="1:15" x14ac:dyDescent="0.25">
      <c r="A113" s="29"/>
      <c r="B113" s="29"/>
      <c r="C113" s="29"/>
      <c r="D113" s="8"/>
      <c r="E113" s="34"/>
      <c r="F113" s="31"/>
      <c r="G113" s="31"/>
      <c r="H113" s="9"/>
      <c r="I113" s="35"/>
      <c r="J113" s="33"/>
      <c r="K113" s="33"/>
      <c r="M113" s="24"/>
      <c r="O113" s="25"/>
    </row>
    <row r="114" spans="1:15" x14ac:dyDescent="0.25">
      <c r="A114" s="29"/>
      <c r="B114" s="29"/>
      <c r="C114" s="29"/>
      <c r="D114" s="8"/>
      <c r="E114" s="34"/>
      <c r="F114" s="31"/>
      <c r="G114" s="31"/>
      <c r="H114" s="9"/>
      <c r="I114" s="35"/>
      <c r="J114" s="33"/>
      <c r="K114" s="33"/>
      <c r="M114" s="24"/>
      <c r="O114" s="25"/>
    </row>
    <row r="115" spans="1:15" x14ac:dyDescent="0.25">
      <c r="A115" s="29"/>
      <c r="B115" s="29"/>
      <c r="C115" s="29"/>
      <c r="D115" s="8"/>
      <c r="E115" s="34"/>
      <c r="F115" s="31"/>
      <c r="G115" s="31"/>
      <c r="H115" s="9"/>
      <c r="I115" s="35"/>
      <c r="J115" s="33"/>
      <c r="K115" s="33"/>
      <c r="M115" s="24"/>
      <c r="O115" s="25"/>
    </row>
    <row r="116" spans="1:15" x14ac:dyDescent="0.25">
      <c r="A116" s="29"/>
      <c r="B116" s="29"/>
      <c r="C116" s="29"/>
      <c r="D116" s="8"/>
      <c r="E116" s="34"/>
      <c r="F116" s="31"/>
      <c r="G116" s="31"/>
      <c r="H116" s="9"/>
      <c r="I116" s="35"/>
      <c r="J116" s="33"/>
      <c r="K116" s="33"/>
      <c r="M116" s="24"/>
      <c r="O116" s="25"/>
    </row>
    <row r="117" spans="1:15" x14ac:dyDescent="0.25">
      <c r="A117" s="29"/>
      <c r="B117" s="29"/>
      <c r="C117" s="29"/>
      <c r="D117" s="8"/>
      <c r="E117" s="34"/>
      <c r="F117" s="31"/>
      <c r="G117" s="31"/>
      <c r="H117" s="9"/>
      <c r="I117" s="35"/>
      <c r="J117" s="33"/>
      <c r="K117" s="33"/>
      <c r="M117" s="24"/>
      <c r="O117" s="25"/>
    </row>
    <row r="118" spans="1:15" x14ac:dyDescent="0.25">
      <c r="A118" s="29"/>
      <c r="B118" s="29"/>
      <c r="C118" s="29"/>
      <c r="D118" s="8"/>
      <c r="E118" s="34"/>
      <c r="F118" s="31"/>
      <c r="G118" s="31"/>
      <c r="H118" s="9"/>
      <c r="I118" s="35"/>
      <c r="J118" s="33"/>
      <c r="K118" s="33"/>
      <c r="M118" s="24"/>
      <c r="O118" s="25"/>
    </row>
    <row r="119" spans="1:15" x14ac:dyDescent="0.25">
      <c r="A119" s="29"/>
      <c r="B119" s="29"/>
      <c r="C119" s="29"/>
      <c r="D119" s="8"/>
      <c r="E119" s="34"/>
      <c r="F119" s="31"/>
      <c r="G119" s="31"/>
      <c r="H119" s="9"/>
      <c r="I119" s="35"/>
      <c r="J119" s="33"/>
      <c r="K119" s="33"/>
      <c r="M119" s="24"/>
      <c r="O119" s="25"/>
    </row>
    <row r="120" spans="1:15" x14ac:dyDescent="0.25">
      <c r="A120" s="29"/>
      <c r="B120" s="29"/>
      <c r="C120" s="29"/>
      <c r="D120" s="8"/>
      <c r="E120" s="34"/>
      <c r="F120" s="31"/>
      <c r="G120" s="31"/>
      <c r="H120" s="9"/>
      <c r="I120" s="35"/>
      <c r="J120" s="33"/>
      <c r="K120" s="33"/>
      <c r="M120" s="24"/>
      <c r="O120" s="25"/>
    </row>
    <row r="121" spans="1:15" x14ac:dyDescent="0.25">
      <c r="A121" s="29"/>
      <c r="B121" s="29"/>
      <c r="C121" s="29"/>
      <c r="D121" s="8"/>
      <c r="E121" s="34"/>
      <c r="F121" s="31"/>
      <c r="G121" s="31"/>
      <c r="H121" s="9"/>
      <c r="I121" s="35"/>
      <c r="J121" s="33"/>
      <c r="K121" s="33"/>
      <c r="M121" s="24"/>
      <c r="O121" s="25"/>
    </row>
    <row r="122" spans="1:15" x14ac:dyDescent="0.25">
      <c r="A122" s="29"/>
      <c r="B122" s="29"/>
      <c r="C122" s="29"/>
      <c r="D122" s="8"/>
      <c r="E122" s="34"/>
      <c r="F122" s="31"/>
      <c r="G122" s="31"/>
      <c r="H122" s="9"/>
      <c r="I122" s="35"/>
      <c r="J122" s="33"/>
      <c r="K122" s="33"/>
      <c r="M122" s="24"/>
      <c r="O122" s="25"/>
    </row>
    <row r="123" spans="1:15" x14ac:dyDescent="0.25">
      <c r="A123" s="29"/>
      <c r="B123" s="29"/>
      <c r="C123" s="29"/>
      <c r="D123" s="8"/>
      <c r="E123" s="34"/>
      <c r="F123" s="31"/>
      <c r="G123" s="31"/>
      <c r="H123" s="9"/>
      <c r="I123" s="35"/>
      <c r="J123" s="33"/>
      <c r="K123" s="33"/>
      <c r="M123" s="24"/>
      <c r="O123" s="25"/>
    </row>
    <row r="124" spans="1:15" x14ac:dyDescent="0.25">
      <c r="A124" s="29"/>
      <c r="B124" s="29"/>
      <c r="C124" s="29"/>
      <c r="D124" s="8"/>
      <c r="E124" s="34"/>
      <c r="F124" s="31"/>
      <c r="G124" s="31"/>
      <c r="H124" s="9"/>
      <c r="I124" s="35"/>
      <c r="J124" s="33"/>
      <c r="K124" s="33"/>
      <c r="M124" s="24"/>
      <c r="O124" s="25"/>
    </row>
    <row r="125" spans="1:15" x14ac:dyDescent="0.25">
      <c r="A125" s="29"/>
      <c r="B125" s="29"/>
      <c r="C125" s="29"/>
      <c r="D125" s="8"/>
      <c r="E125" s="34"/>
      <c r="F125" s="31"/>
      <c r="G125" s="31"/>
      <c r="H125" s="9"/>
      <c r="I125" s="35"/>
      <c r="J125" s="33"/>
      <c r="K125" s="33"/>
      <c r="M125" s="24"/>
      <c r="O125" s="25"/>
    </row>
    <row r="126" spans="1:15" x14ac:dyDescent="0.25">
      <c r="A126" s="29"/>
      <c r="B126" s="29"/>
      <c r="C126" s="29"/>
      <c r="D126" s="8"/>
      <c r="E126" s="34"/>
      <c r="F126" s="31"/>
      <c r="G126" s="31"/>
      <c r="H126" s="9"/>
      <c r="I126" s="35"/>
      <c r="J126" s="33"/>
      <c r="K126" s="33"/>
      <c r="M126" s="24"/>
      <c r="O126" s="25"/>
    </row>
    <row r="127" spans="1:15" x14ac:dyDescent="0.25">
      <c r="A127" s="29"/>
      <c r="B127" s="29"/>
      <c r="C127" s="29"/>
      <c r="D127" s="8"/>
      <c r="E127" s="34"/>
      <c r="F127" s="31"/>
      <c r="G127" s="31"/>
      <c r="H127" s="9"/>
      <c r="I127" s="35"/>
      <c r="J127" s="33"/>
      <c r="K127" s="33"/>
      <c r="M127" s="24"/>
      <c r="O127" s="25"/>
    </row>
    <row r="128" spans="1:15" x14ac:dyDescent="0.25">
      <c r="A128" s="29"/>
      <c r="B128" s="29"/>
      <c r="C128" s="29"/>
      <c r="D128" s="8"/>
      <c r="E128" s="34"/>
      <c r="F128" s="31"/>
      <c r="G128" s="31"/>
      <c r="H128" s="9"/>
      <c r="I128" s="35"/>
      <c r="J128" s="33"/>
      <c r="K128" s="33"/>
      <c r="M128" s="24"/>
      <c r="O128" s="25"/>
    </row>
    <row r="129" spans="1:15" x14ac:dyDescent="0.25">
      <c r="A129" s="29"/>
      <c r="B129" s="29"/>
      <c r="C129" s="29"/>
      <c r="D129" s="8"/>
      <c r="E129" s="34"/>
      <c r="F129" s="31"/>
      <c r="G129" s="31"/>
      <c r="H129" s="9"/>
      <c r="I129" s="35"/>
      <c r="J129" s="33"/>
      <c r="K129" s="33"/>
      <c r="M129" s="24"/>
      <c r="O129" s="25"/>
    </row>
    <row r="130" spans="1:15" x14ac:dyDescent="0.25">
      <c r="A130" s="29"/>
      <c r="B130" s="29"/>
      <c r="C130" s="29"/>
      <c r="D130" s="8"/>
      <c r="E130" s="34"/>
      <c r="F130" s="31"/>
      <c r="G130" s="31"/>
      <c r="H130" s="9"/>
      <c r="I130" s="35"/>
      <c r="J130" s="33"/>
      <c r="K130" s="33"/>
      <c r="M130" s="24"/>
      <c r="O130" s="25"/>
    </row>
    <row r="131" spans="1:15" x14ac:dyDescent="0.25">
      <c r="A131" s="29"/>
      <c r="B131" s="29"/>
      <c r="C131" s="29"/>
      <c r="D131" s="8"/>
      <c r="E131" s="34"/>
      <c r="F131" s="31"/>
      <c r="G131" s="31"/>
      <c r="H131" s="9"/>
      <c r="I131" s="35"/>
      <c r="J131" s="33"/>
      <c r="K131" s="33"/>
      <c r="M131" s="24"/>
      <c r="O131" s="25"/>
    </row>
    <row r="132" spans="1:15" x14ac:dyDescent="0.25">
      <c r="A132" s="29"/>
      <c r="B132" s="29"/>
      <c r="C132" s="29"/>
      <c r="D132" s="8"/>
      <c r="E132" s="34"/>
      <c r="F132" s="31"/>
      <c r="G132" s="31"/>
      <c r="H132" s="9"/>
      <c r="I132" s="35"/>
      <c r="J132" s="33"/>
      <c r="K132" s="33"/>
      <c r="M132" s="24"/>
      <c r="O132" s="25"/>
    </row>
    <row r="133" spans="1:15" x14ac:dyDescent="0.25">
      <c r="A133" s="29"/>
      <c r="B133" s="29"/>
      <c r="C133" s="29"/>
      <c r="D133" s="8"/>
      <c r="E133" s="34"/>
      <c r="F133" s="31"/>
      <c r="G133" s="31"/>
      <c r="H133" s="9"/>
      <c r="I133" s="35"/>
      <c r="J133" s="33"/>
      <c r="K133" s="33"/>
      <c r="M133" s="24"/>
      <c r="O133" s="25"/>
    </row>
    <row r="134" spans="1:15" x14ac:dyDescent="0.25">
      <c r="A134" s="29"/>
      <c r="B134" s="29"/>
      <c r="C134" s="29"/>
      <c r="D134" s="8"/>
      <c r="E134" s="34"/>
      <c r="F134" s="31"/>
      <c r="G134" s="31"/>
      <c r="H134" s="9"/>
      <c r="I134" s="35"/>
      <c r="J134" s="33"/>
      <c r="K134" s="33"/>
      <c r="M134" s="24"/>
      <c r="O134" s="25"/>
    </row>
    <row r="135" spans="1:15" x14ac:dyDescent="0.25">
      <c r="A135" s="29"/>
      <c r="B135" s="29"/>
      <c r="C135" s="29"/>
      <c r="D135" s="8"/>
      <c r="E135" s="34"/>
      <c r="F135" s="31"/>
      <c r="G135" s="31"/>
      <c r="H135" s="9"/>
      <c r="I135" s="35"/>
      <c r="J135" s="33"/>
      <c r="K135" s="33"/>
      <c r="M135" s="24"/>
      <c r="O135" s="25"/>
    </row>
    <row r="136" spans="1:15" x14ac:dyDescent="0.25">
      <c r="A136" s="29"/>
      <c r="B136" s="29"/>
      <c r="C136" s="29"/>
      <c r="D136" s="8"/>
      <c r="E136" s="34"/>
      <c r="F136" s="31"/>
      <c r="G136" s="31"/>
      <c r="H136" s="9"/>
      <c r="I136" s="35"/>
      <c r="J136" s="33"/>
      <c r="K136" s="33"/>
      <c r="M136" s="24"/>
      <c r="O136" s="25"/>
    </row>
    <row r="137" spans="1:15" x14ac:dyDescent="0.25">
      <c r="A137" s="29"/>
      <c r="B137" s="29"/>
      <c r="C137" s="29"/>
      <c r="D137" s="8"/>
      <c r="E137" s="34"/>
      <c r="F137" s="31"/>
      <c r="G137" s="31"/>
      <c r="H137" s="9"/>
      <c r="I137" s="35"/>
      <c r="J137" s="33"/>
      <c r="K137" s="33"/>
      <c r="M137" s="24"/>
      <c r="O137" s="25"/>
    </row>
    <row r="138" spans="1:15" x14ac:dyDescent="0.25">
      <c r="A138" s="29"/>
      <c r="B138" s="29"/>
      <c r="C138" s="29"/>
      <c r="D138" s="8"/>
      <c r="E138" s="34"/>
      <c r="F138" s="31"/>
      <c r="G138" s="31"/>
      <c r="H138" s="9"/>
      <c r="I138" s="35"/>
      <c r="J138" s="33"/>
      <c r="K138" s="33"/>
      <c r="M138" s="24"/>
      <c r="O138" s="25"/>
    </row>
    <row r="139" spans="1:15" x14ac:dyDescent="0.25">
      <c r="A139" s="29"/>
      <c r="B139" s="29"/>
      <c r="C139" s="29"/>
      <c r="D139" s="8"/>
      <c r="E139" s="34"/>
      <c r="F139" s="31"/>
      <c r="G139" s="31"/>
      <c r="H139" s="9"/>
      <c r="I139" s="35"/>
      <c r="J139" s="33"/>
      <c r="K139" s="33"/>
      <c r="M139" s="24"/>
      <c r="O139" s="25"/>
    </row>
    <row r="140" spans="1:15" x14ac:dyDescent="0.25">
      <c r="A140" s="29"/>
      <c r="B140" s="29"/>
      <c r="C140" s="29"/>
      <c r="D140" s="8"/>
      <c r="E140" s="34"/>
      <c r="F140" s="31"/>
      <c r="G140" s="31"/>
      <c r="H140" s="9"/>
      <c r="I140" s="35"/>
      <c r="J140" s="33"/>
      <c r="K140" s="33"/>
      <c r="M140" s="24"/>
      <c r="O140" s="25"/>
    </row>
    <row r="141" spans="1:15" x14ac:dyDescent="0.25">
      <c r="A141" s="29"/>
      <c r="B141" s="29"/>
      <c r="C141" s="29"/>
      <c r="D141" s="8"/>
      <c r="E141" s="34"/>
      <c r="F141" s="31"/>
      <c r="G141" s="31"/>
      <c r="H141" s="9"/>
      <c r="I141" s="35"/>
      <c r="J141" s="33"/>
      <c r="K141" s="33"/>
      <c r="M141" s="24"/>
      <c r="O141" s="25"/>
    </row>
    <row r="142" spans="1:15" x14ac:dyDescent="0.25">
      <c r="A142" s="29"/>
      <c r="B142" s="29"/>
      <c r="C142" s="29"/>
      <c r="D142" s="8"/>
      <c r="E142" s="34"/>
      <c r="F142" s="31"/>
      <c r="G142" s="31"/>
      <c r="H142" s="9"/>
      <c r="I142" s="35"/>
      <c r="J142" s="33"/>
      <c r="K142" s="33"/>
      <c r="M142" s="24"/>
      <c r="O142" s="25"/>
    </row>
    <row r="143" spans="1:15" x14ac:dyDescent="0.25">
      <c r="A143" s="29"/>
      <c r="B143" s="29"/>
      <c r="C143" s="29"/>
      <c r="D143" s="8"/>
      <c r="E143" s="34"/>
      <c r="F143" s="31"/>
      <c r="G143" s="31"/>
      <c r="H143" s="9"/>
      <c r="I143" s="35"/>
      <c r="J143" s="33"/>
      <c r="K143" s="33"/>
      <c r="M143" s="24"/>
      <c r="O143" s="25"/>
    </row>
    <row r="144" spans="1:15" x14ac:dyDescent="0.25">
      <c r="A144" s="29"/>
      <c r="B144" s="29"/>
      <c r="C144" s="29"/>
      <c r="D144" s="8"/>
      <c r="E144" s="34"/>
      <c r="F144" s="31"/>
      <c r="G144" s="31"/>
      <c r="H144" s="9"/>
      <c r="I144" s="35"/>
      <c r="J144" s="33"/>
      <c r="K144" s="33"/>
      <c r="M144" s="24"/>
      <c r="O144" s="25"/>
    </row>
    <row r="145" spans="1:15" x14ac:dyDescent="0.25">
      <c r="A145" s="29"/>
      <c r="B145" s="29"/>
      <c r="C145" s="29"/>
      <c r="D145" s="8"/>
      <c r="E145" s="34"/>
      <c r="F145" s="31"/>
      <c r="G145" s="31"/>
      <c r="H145" s="9"/>
      <c r="I145" s="35"/>
      <c r="J145" s="33"/>
      <c r="K145" s="33"/>
      <c r="M145" s="24"/>
      <c r="O145" s="25"/>
    </row>
    <row r="146" spans="1:15" x14ac:dyDescent="0.25">
      <c r="A146" s="29"/>
      <c r="B146" s="29"/>
      <c r="C146" s="29"/>
      <c r="D146" s="8"/>
      <c r="E146" s="34"/>
      <c r="F146" s="31"/>
      <c r="G146" s="31"/>
      <c r="H146" s="9"/>
      <c r="I146" s="35"/>
      <c r="J146" s="33"/>
      <c r="K146" s="33"/>
      <c r="M146" s="24"/>
      <c r="O146" s="25"/>
    </row>
    <row r="147" spans="1:15" x14ac:dyDescent="0.25">
      <c r="A147" s="29"/>
      <c r="B147" s="29"/>
      <c r="C147" s="29"/>
      <c r="D147" s="8"/>
      <c r="E147" s="34"/>
      <c r="F147" s="31"/>
      <c r="G147" s="31"/>
      <c r="H147" s="9"/>
      <c r="I147" s="35"/>
      <c r="J147" s="33"/>
      <c r="K147" s="33"/>
      <c r="M147" s="24"/>
      <c r="O147" s="25"/>
    </row>
    <row r="148" spans="1:15" x14ac:dyDescent="0.25">
      <c r="A148" s="29"/>
      <c r="B148" s="29"/>
      <c r="C148" s="29"/>
      <c r="D148" s="8"/>
      <c r="E148" s="34"/>
      <c r="F148" s="31"/>
      <c r="G148" s="31"/>
      <c r="H148" s="9"/>
      <c r="I148" s="35"/>
      <c r="J148" s="33"/>
      <c r="K148" s="33"/>
      <c r="M148" s="24"/>
      <c r="O148" s="25"/>
    </row>
    <row r="149" spans="1:15" x14ac:dyDescent="0.25">
      <c r="A149" s="29"/>
      <c r="B149" s="29"/>
      <c r="C149" s="29"/>
      <c r="D149" s="8"/>
      <c r="E149" s="34"/>
      <c r="F149" s="31"/>
      <c r="G149" s="31"/>
      <c r="H149" s="9"/>
      <c r="I149" s="35"/>
      <c r="J149" s="33"/>
      <c r="K149" s="33"/>
      <c r="M149" s="24"/>
      <c r="O149" s="25"/>
    </row>
    <row r="150" spans="1:15" x14ac:dyDescent="0.25">
      <c r="A150" s="29"/>
      <c r="B150" s="29"/>
      <c r="C150" s="29"/>
      <c r="D150" s="8"/>
      <c r="E150" s="34"/>
      <c r="F150" s="31"/>
      <c r="G150" s="31"/>
      <c r="H150" s="9"/>
      <c r="I150" s="35"/>
      <c r="J150" s="33"/>
      <c r="K150" s="33"/>
      <c r="M150" s="24"/>
      <c r="O150" s="25"/>
    </row>
    <row r="151" spans="1:15" x14ac:dyDescent="0.25">
      <c r="A151" s="29"/>
      <c r="B151" s="29"/>
      <c r="C151" s="29"/>
      <c r="D151" s="8"/>
      <c r="E151" s="34"/>
      <c r="F151" s="31"/>
      <c r="G151" s="31"/>
      <c r="H151" s="9"/>
      <c r="I151" s="35"/>
      <c r="J151" s="33"/>
      <c r="K151" s="33"/>
      <c r="M151" s="24"/>
      <c r="O151" s="25"/>
    </row>
    <row r="152" spans="1:15" x14ac:dyDescent="0.25">
      <c r="A152" s="29"/>
      <c r="B152" s="29"/>
      <c r="C152" s="29"/>
      <c r="D152" s="8"/>
      <c r="E152" s="34"/>
      <c r="F152" s="31"/>
      <c r="G152" s="31"/>
      <c r="H152" s="9"/>
      <c r="I152" s="35"/>
      <c r="J152" s="33"/>
      <c r="K152" s="33"/>
      <c r="M152" s="24"/>
      <c r="O152" s="25"/>
    </row>
    <row r="153" spans="1:15" x14ac:dyDescent="0.25">
      <c r="A153" s="29"/>
      <c r="B153" s="29"/>
      <c r="C153" s="29"/>
      <c r="D153" s="8"/>
      <c r="E153" s="34"/>
      <c r="F153" s="31"/>
      <c r="G153" s="31"/>
      <c r="H153" s="9"/>
      <c r="I153" s="35"/>
      <c r="J153" s="33"/>
      <c r="K153" s="33"/>
      <c r="M153" s="24"/>
      <c r="O153" s="25"/>
    </row>
    <row r="154" spans="1:15" x14ac:dyDescent="0.25">
      <c r="A154" s="29"/>
      <c r="B154" s="29"/>
      <c r="C154" s="29"/>
      <c r="D154" s="8"/>
      <c r="E154" s="34"/>
      <c r="F154" s="31"/>
      <c r="G154" s="31"/>
      <c r="H154" s="9"/>
      <c r="I154" s="35"/>
      <c r="J154" s="33"/>
      <c r="K154" s="33"/>
      <c r="M154" s="24"/>
      <c r="O154" s="25"/>
    </row>
    <row r="155" spans="1:15" x14ac:dyDescent="0.25">
      <c r="A155" s="29"/>
      <c r="B155" s="29"/>
      <c r="C155" s="29"/>
      <c r="D155" s="8"/>
      <c r="E155" s="34"/>
      <c r="F155" s="31"/>
      <c r="G155" s="31"/>
      <c r="H155" s="9"/>
      <c r="I155" s="35"/>
      <c r="J155" s="33"/>
      <c r="K155" s="33"/>
      <c r="M155" s="24"/>
      <c r="O155" s="25"/>
    </row>
    <row r="156" spans="1:15" x14ac:dyDescent="0.25">
      <c r="A156" s="29"/>
      <c r="B156" s="29"/>
      <c r="C156" s="29"/>
      <c r="D156" s="8"/>
      <c r="E156" s="34"/>
      <c r="F156" s="31"/>
      <c r="G156" s="31"/>
      <c r="H156" s="9"/>
      <c r="I156" s="35"/>
      <c r="J156" s="33"/>
      <c r="K156" s="33"/>
      <c r="M156" s="24"/>
      <c r="O156" s="25"/>
    </row>
    <row r="157" spans="1:15" x14ac:dyDescent="0.25">
      <c r="A157" s="29"/>
      <c r="B157" s="29"/>
      <c r="C157" s="29"/>
      <c r="D157" s="8"/>
      <c r="E157" s="34"/>
      <c r="F157" s="31"/>
      <c r="G157" s="31"/>
      <c r="H157" s="9"/>
      <c r="I157" s="35"/>
      <c r="J157" s="33"/>
      <c r="K157" s="33"/>
      <c r="M157" s="24"/>
      <c r="O157" s="25"/>
    </row>
    <row r="158" spans="1:15" x14ac:dyDescent="0.25">
      <c r="A158" s="29"/>
      <c r="B158" s="29"/>
      <c r="C158" s="29"/>
      <c r="D158" s="8"/>
      <c r="E158" s="34"/>
      <c r="F158" s="31"/>
      <c r="G158" s="31"/>
      <c r="H158" s="9"/>
      <c r="I158" s="35"/>
      <c r="J158" s="33"/>
      <c r="K158" s="33"/>
      <c r="M158" s="24"/>
      <c r="O158" s="25"/>
    </row>
    <row r="159" spans="1:15" x14ac:dyDescent="0.25">
      <c r="A159" s="29"/>
      <c r="B159" s="29"/>
      <c r="C159" s="29"/>
      <c r="D159" s="8"/>
      <c r="E159" s="34"/>
      <c r="F159" s="31"/>
      <c r="G159" s="31"/>
      <c r="H159" s="9"/>
      <c r="I159" s="35"/>
      <c r="J159" s="33"/>
      <c r="K159" s="33"/>
      <c r="M159" s="24"/>
      <c r="O159" s="25"/>
    </row>
    <row r="160" spans="1:15" x14ac:dyDescent="0.25">
      <c r="A160" s="29"/>
      <c r="B160" s="29"/>
      <c r="C160" s="29"/>
      <c r="D160" s="8"/>
      <c r="E160" s="34"/>
      <c r="F160" s="31"/>
      <c r="G160" s="31"/>
      <c r="H160" s="9"/>
      <c r="I160" s="35"/>
      <c r="J160" s="33"/>
      <c r="K160" s="33"/>
      <c r="M160" s="24"/>
      <c r="O160" s="25"/>
    </row>
    <row r="161" spans="1:15" x14ac:dyDescent="0.25">
      <c r="A161" s="29"/>
      <c r="B161" s="29"/>
      <c r="C161" s="29"/>
      <c r="D161" s="8"/>
      <c r="E161" s="34"/>
      <c r="F161" s="31"/>
      <c r="G161" s="31"/>
      <c r="H161" s="9"/>
      <c r="I161" s="35"/>
      <c r="J161" s="33"/>
      <c r="K161" s="33"/>
      <c r="M161" s="24"/>
      <c r="O161" s="25"/>
    </row>
    <row r="162" spans="1:15" x14ac:dyDescent="0.25">
      <c r="A162" s="29"/>
      <c r="B162" s="29"/>
      <c r="C162" s="29"/>
      <c r="D162" s="8"/>
      <c r="E162" s="34"/>
      <c r="F162" s="31"/>
      <c r="G162" s="31"/>
      <c r="H162" s="9"/>
      <c r="I162" s="35"/>
      <c r="J162" s="33"/>
      <c r="K162" s="33"/>
      <c r="M162" s="24"/>
      <c r="O162" s="25"/>
    </row>
    <row r="163" spans="1:15" x14ac:dyDescent="0.25">
      <c r="A163" s="29"/>
      <c r="B163" s="29"/>
      <c r="C163" s="29"/>
      <c r="D163" s="8"/>
      <c r="E163" s="34"/>
      <c r="F163" s="31"/>
      <c r="G163" s="31"/>
      <c r="H163" s="9"/>
      <c r="I163" s="35"/>
      <c r="J163" s="33"/>
      <c r="K163" s="33"/>
      <c r="M163" s="24"/>
      <c r="O163" s="25"/>
    </row>
    <row r="164" spans="1:15" x14ac:dyDescent="0.25">
      <c r="A164" s="29"/>
      <c r="B164" s="29"/>
      <c r="C164" s="29"/>
      <c r="D164" s="8"/>
      <c r="E164" s="34"/>
      <c r="F164" s="31"/>
      <c r="G164" s="31"/>
      <c r="H164" s="9"/>
      <c r="I164" s="35"/>
      <c r="J164" s="33"/>
      <c r="K164" s="33"/>
      <c r="M164" s="24"/>
      <c r="O164" s="25"/>
    </row>
    <row r="165" spans="1:15" x14ac:dyDescent="0.25">
      <c r="A165" s="29"/>
      <c r="B165" s="29"/>
      <c r="C165" s="29"/>
      <c r="D165" s="8"/>
      <c r="E165" s="34"/>
      <c r="F165" s="31"/>
      <c r="G165" s="31"/>
      <c r="H165" s="9"/>
      <c r="I165" s="35"/>
      <c r="J165" s="33"/>
      <c r="K165" s="33"/>
      <c r="M165" s="24"/>
      <c r="O165" s="25"/>
    </row>
    <row r="166" spans="1:15" x14ac:dyDescent="0.25">
      <c r="A166" s="29"/>
      <c r="B166" s="29"/>
      <c r="C166" s="29"/>
      <c r="D166" s="8"/>
      <c r="E166" s="34"/>
      <c r="F166" s="31"/>
      <c r="G166" s="31"/>
      <c r="H166" s="9"/>
      <c r="I166" s="35"/>
      <c r="J166" s="33"/>
      <c r="K166" s="33"/>
      <c r="M166" s="24"/>
      <c r="O166" s="25"/>
    </row>
    <row r="167" spans="1:15" x14ac:dyDescent="0.25">
      <c r="A167" s="29"/>
      <c r="B167" s="29"/>
      <c r="C167" s="29"/>
      <c r="D167" s="8"/>
      <c r="E167" s="34"/>
      <c r="F167" s="31"/>
      <c r="G167" s="31"/>
      <c r="H167" s="9"/>
      <c r="I167" s="35"/>
      <c r="J167" s="33"/>
      <c r="K167" s="33"/>
      <c r="M167" s="24"/>
      <c r="O167" s="25"/>
    </row>
    <row r="168" spans="1:15" x14ac:dyDescent="0.25">
      <c r="A168" s="29"/>
      <c r="B168" s="29"/>
      <c r="C168" s="29"/>
      <c r="D168" s="8"/>
      <c r="E168" s="34"/>
      <c r="F168" s="31"/>
      <c r="G168" s="31"/>
      <c r="H168" s="9"/>
      <c r="I168" s="35"/>
      <c r="J168" s="33"/>
      <c r="K168" s="33"/>
      <c r="M168" s="24"/>
      <c r="O168" s="25"/>
    </row>
    <row r="169" spans="1:15" x14ac:dyDescent="0.25">
      <c r="A169" s="29"/>
      <c r="B169" s="29"/>
      <c r="C169" s="29"/>
      <c r="D169" s="8"/>
      <c r="E169" s="34"/>
      <c r="F169" s="31"/>
      <c r="G169" s="31"/>
      <c r="H169" s="9"/>
      <c r="I169" s="35"/>
      <c r="J169" s="33"/>
      <c r="K169" s="33"/>
      <c r="M169" s="24"/>
      <c r="O169" s="25"/>
    </row>
    <row r="170" spans="1:15" x14ac:dyDescent="0.25">
      <c r="A170" s="29"/>
      <c r="B170" s="29"/>
      <c r="C170" s="29"/>
      <c r="D170" s="8"/>
      <c r="E170" s="34"/>
      <c r="F170" s="31"/>
      <c r="G170" s="31"/>
      <c r="H170" s="9"/>
      <c r="I170" s="35"/>
      <c r="J170" s="33"/>
      <c r="K170" s="33"/>
      <c r="M170" s="24"/>
      <c r="O170" s="25"/>
    </row>
    <row r="171" spans="1:15" x14ac:dyDescent="0.25">
      <c r="A171" s="29"/>
      <c r="B171" s="29"/>
      <c r="C171" s="29"/>
      <c r="D171" s="8"/>
      <c r="E171" s="34"/>
      <c r="F171" s="31"/>
      <c r="G171" s="31"/>
      <c r="H171" s="9"/>
      <c r="I171" s="35"/>
      <c r="J171" s="33"/>
      <c r="K171" s="33"/>
      <c r="M171" s="24"/>
      <c r="O171" s="25"/>
    </row>
    <row r="172" spans="1:15" x14ac:dyDescent="0.25">
      <c r="A172" s="29"/>
      <c r="B172" s="29"/>
      <c r="C172" s="29"/>
      <c r="D172" s="8"/>
      <c r="E172" s="34"/>
      <c r="F172" s="31"/>
      <c r="G172" s="31"/>
      <c r="H172" s="9"/>
      <c r="I172" s="35"/>
      <c r="J172" s="33"/>
      <c r="K172" s="33"/>
      <c r="M172" s="24"/>
      <c r="O172" s="25"/>
    </row>
    <row r="173" spans="1:15" x14ac:dyDescent="0.25">
      <c r="A173" s="29"/>
      <c r="B173" s="29"/>
      <c r="C173" s="29"/>
      <c r="D173" s="8"/>
      <c r="E173" s="34"/>
      <c r="F173" s="31"/>
      <c r="G173" s="31"/>
      <c r="H173" s="9"/>
      <c r="I173" s="35"/>
      <c r="J173" s="33"/>
      <c r="K173" s="33"/>
      <c r="M173" s="24"/>
      <c r="O173" s="25"/>
    </row>
    <row r="174" spans="1:15" x14ac:dyDescent="0.25">
      <c r="A174" s="29"/>
      <c r="B174" s="29"/>
      <c r="C174" s="29"/>
      <c r="D174" s="8"/>
      <c r="E174" s="34"/>
      <c r="F174" s="31"/>
      <c r="G174" s="31"/>
      <c r="H174" s="9"/>
      <c r="I174" s="35"/>
      <c r="J174" s="33"/>
      <c r="K174" s="33"/>
      <c r="M174" s="24"/>
      <c r="O174" s="25"/>
    </row>
    <row r="175" spans="1:15" x14ac:dyDescent="0.25">
      <c r="A175" s="29"/>
      <c r="B175" s="29"/>
      <c r="C175" s="29"/>
      <c r="D175" s="8"/>
      <c r="E175" s="34"/>
      <c r="F175" s="31"/>
      <c r="G175" s="31"/>
      <c r="H175" s="9"/>
      <c r="I175" s="35"/>
      <c r="J175" s="33"/>
      <c r="K175" s="33"/>
      <c r="M175" s="24"/>
      <c r="O175" s="25"/>
    </row>
    <row r="176" spans="1:15" x14ac:dyDescent="0.25">
      <c r="A176" s="29"/>
      <c r="B176" s="29"/>
      <c r="C176" s="29"/>
      <c r="D176" s="8"/>
      <c r="E176" s="34"/>
      <c r="F176" s="31"/>
      <c r="G176" s="31"/>
      <c r="H176" s="9"/>
      <c r="I176" s="35"/>
      <c r="J176" s="33"/>
      <c r="K176" s="33"/>
      <c r="M176" s="24"/>
      <c r="O176" s="25"/>
    </row>
    <row r="177" spans="1:15" x14ac:dyDescent="0.25">
      <c r="A177" s="29"/>
      <c r="B177" s="29"/>
      <c r="C177" s="29"/>
      <c r="D177" s="8"/>
      <c r="E177" s="34"/>
      <c r="F177" s="31"/>
      <c r="G177" s="31"/>
      <c r="H177" s="9"/>
      <c r="I177" s="35"/>
      <c r="J177" s="33"/>
      <c r="K177" s="33"/>
      <c r="M177" s="24"/>
      <c r="O177" s="25"/>
    </row>
    <row r="178" spans="1:15" x14ac:dyDescent="0.25">
      <c r="A178" s="29"/>
      <c r="B178" s="29"/>
      <c r="C178" s="29"/>
      <c r="D178" s="8"/>
      <c r="E178" s="34"/>
      <c r="F178" s="31"/>
      <c r="G178" s="31"/>
      <c r="H178" s="9"/>
      <c r="I178" s="35"/>
      <c r="J178" s="33"/>
      <c r="K178" s="33"/>
      <c r="M178" s="24"/>
      <c r="O178" s="25"/>
    </row>
    <row r="179" spans="1:15" x14ac:dyDescent="0.25">
      <c r="A179" s="29"/>
      <c r="B179" s="29"/>
      <c r="C179" s="29"/>
      <c r="D179" s="8"/>
      <c r="E179" s="34"/>
      <c r="F179" s="31"/>
      <c r="G179" s="31"/>
      <c r="H179" s="9"/>
      <c r="I179" s="35"/>
      <c r="J179" s="33"/>
      <c r="K179" s="33"/>
      <c r="M179" s="24"/>
      <c r="O179" s="25"/>
    </row>
    <row r="180" spans="1:15" x14ac:dyDescent="0.25">
      <c r="A180" s="29"/>
      <c r="B180" s="29"/>
      <c r="C180" s="29"/>
      <c r="D180" s="8"/>
      <c r="E180" s="34"/>
      <c r="F180" s="31"/>
      <c r="G180" s="31"/>
      <c r="H180" s="9"/>
      <c r="I180" s="35"/>
      <c r="J180" s="33"/>
      <c r="K180" s="33"/>
      <c r="M180" s="24"/>
      <c r="O180" s="25"/>
    </row>
    <row r="181" spans="1:15" x14ac:dyDescent="0.25">
      <c r="A181" s="29"/>
      <c r="B181" s="29"/>
      <c r="C181" s="29"/>
      <c r="D181" s="8"/>
      <c r="E181" s="34"/>
      <c r="F181" s="31"/>
      <c r="G181" s="31"/>
      <c r="H181" s="9"/>
      <c r="I181" s="35"/>
      <c r="J181" s="33"/>
      <c r="K181" s="33"/>
      <c r="M181" s="24"/>
      <c r="O181" s="25"/>
    </row>
    <row r="182" spans="1:15" x14ac:dyDescent="0.25">
      <c r="A182" s="29"/>
      <c r="B182" s="29"/>
      <c r="C182" s="29"/>
      <c r="D182" s="8"/>
      <c r="E182" s="34"/>
      <c r="F182" s="31"/>
      <c r="G182" s="31"/>
      <c r="H182" s="9"/>
      <c r="I182" s="35"/>
      <c r="J182" s="33"/>
      <c r="K182" s="33"/>
      <c r="M182" s="24"/>
      <c r="O182" s="25"/>
    </row>
    <row r="183" spans="1:15" x14ac:dyDescent="0.25">
      <c r="A183" s="29"/>
      <c r="B183" s="29"/>
      <c r="C183" s="29"/>
      <c r="D183" s="8"/>
      <c r="E183" s="34"/>
      <c r="F183" s="31"/>
      <c r="G183" s="31"/>
      <c r="H183" s="9"/>
      <c r="I183" s="35"/>
      <c r="J183" s="33"/>
      <c r="K183" s="33"/>
      <c r="M183" s="24"/>
      <c r="O183" s="25"/>
    </row>
    <row r="184" spans="1:15" x14ac:dyDescent="0.25">
      <c r="A184" s="29"/>
      <c r="B184" s="29"/>
      <c r="C184" s="29"/>
      <c r="D184" s="8"/>
      <c r="E184" s="34"/>
      <c r="F184" s="31"/>
      <c r="G184" s="31"/>
      <c r="H184" s="9"/>
      <c r="I184" s="35"/>
      <c r="J184" s="33"/>
      <c r="K184" s="33"/>
      <c r="M184" s="24"/>
      <c r="O184" s="25"/>
    </row>
    <row r="185" spans="1:15" x14ac:dyDescent="0.25">
      <c r="A185" s="29"/>
      <c r="B185" s="29"/>
      <c r="C185" s="29"/>
      <c r="D185" s="8"/>
      <c r="E185" s="34"/>
      <c r="F185" s="31"/>
      <c r="G185" s="31"/>
      <c r="H185" s="9"/>
      <c r="I185" s="35"/>
      <c r="J185" s="33"/>
      <c r="K185" s="33"/>
      <c r="M185" s="24"/>
      <c r="O185" s="25"/>
    </row>
  </sheetData>
  <sortState ref="A4:I33">
    <sortCondition ref="B4:B33"/>
  </sortState>
  <mergeCells count="4">
    <mergeCell ref="D1:G1"/>
    <mergeCell ref="H1:K1"/>
    <mergeCell ref="F2:G2"/>
    <mergeCell ref="J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5</xdr:row>
                    <xdr:rowOff>85725</xdr:rowOff>
                  </from>
                  <to>
                    <xdr:col>18</xdr:col>
                    <xdr:colOff>542925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lačidlo2_Kliknúť">
                <anchor moveWithCells="1">
                  <from>
                    <xdr:col>15</xdr:col>
                    <xdr:colOff>466725</xdr:colOff>
                    <xdr:row>5</xdr:row>
                    <xdr:rowOff>85725</xdr:rowOff>
                  </from>
                  <to>
                    <xdr:col>18</xdr:col>
                    <xdr:colOff>542925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lačidlo1_Kliknúť">
                <anchor moveWithCells="1">
                  <from>
                    <xdr:col>16</xdr:col>
                    <xdr:colOff>209550</xdr:colOff>
                    <xdr:row>1</xdr:row>
                    <xdr:rowOff>228600</xdr:rowOff>
                  </from>
                  <to>
                    <xdr:col>19</xdr:col>
                    <xdr:colOff>276225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lačidlo2_Kliknúť">
                <anchor moveWithCells="1">
                  <from>
                    <xdr:col>16</xdr:col>
                    <xdr:colOff>228600</xdr:colOff>
                    <xdr:row>3</xdr:row>
                    <xdr:rowOff>0</xdr:rowOff>
                  </from>
                  <to>
                    <xdr:col>19</xdr:col>
                    <xdr:colOff>304800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/>
  <dimension ref="A1:N184"/>
  <sheetViews>
    <sheetView topLeftCell="A142" workbookViewId="0">
      <selection activeCell="K154" sqref="K154"/>
    </sheetView>
  </sheetViews>
  <sheetFormatPr defaultRowHeight="15" x14ac:dyDescent="0.25"/>
  <cols>
    <col min="2" max="2" width="26.140625" style="3" customWidth="1"/>
    <col min="3" max="3" width="16.5703125" style="3" customWidth="1"/>
    <col min="4" max="4" width="13.85546875" style="3" customWidth="1"/>
    <col min="5" max="5" width="12.5703125" style="12" customWidth="1"/>
    <col min="6" max="6" width="12.5703125" style="74" customWidth="1"/>
    <col min="7" max="7" width="9.140625" style="38"/>
    <col min="8" max="8" width="11.5703125" style="39" customWidth="1"/>
    <col min="9" max="9" width="11.5703125" style="42" customWidth="1"/>
    <col min="10" max="10" width="19.140625" style="40" customWidth="1"/>
    <col min="11" max="11" width="19" style="41" customWidth="1"/>
    <col min="13" max="13" width="16" style="65" customWidth="1"/>
    <col min="14" max="14" width="17" style="66" customWidth="1"/>
  </cols>
  <sheetData>
    <row r="1" spans="1:14" ht="18.75" x14ac:dyDescent="0.3">
      <c r="A1" s="1"/>
      <c r="B1" s="2" t="s">
        <v>12</v>
      </c>
      <c r="C1" s="2" t="s">
        <v>9</v>
      </c>
      <c r="D1" s="2" t="s">
        <v>8</v>
      </c>
      <c r="E1" s="67" t="s">
        <v>14</v>
      </c>
      <c r="F1" s="73" t="s">
        <v>15</v>
      </c>
      <c r="G1" s="44" t="s">
        <v>18</v>
      </c>
      <c r="H1" s="45" t="s">
        <v>19</v>
      </c>
      <c r="I1" s="46"/>
      <c r="J1" s="47" t="s">
        <v>16</v>
      </c>
      <c r="K1" s="48" t="s">
        <v>17</v>
      </c>
      <c r="M1" s="59" t="s">
        <v>16</v>
      </c>
      <c r="N1" s="60" t="s">
        <v>17</v>
      </c>
    </row>
    <row r="2" spans="1:14" ht="18.75" x14ac:dyDescent="0.3">
      <c r="A2" s="1"/>
      <c r="B2" s="2"/>
      <c r="C2" s="4"/>
      <c r="D2" s="4"/>
      <c r="E2" s="68" t="s">
        <v>0</v>
      </c>
      <c r="F2" s="14" t="s">
        <v>1</v>
      </c>
      <c r="G2" s="49"/>
      <c r="H2" s="50"/>
      <c r="I2" s="51"/>
      <c r="J2" s="56" t="s">
        <v>20</v>
      </c>
      <c r="K2" s="57" t="s">
        <v>20</v>
      </c>
      <c r="M2" s="61" t="s">
        <v>21</v>
      </c>
      <c r="N2" s="62" t="s">
        <v>21</v>
      </c>
    </row>
    <row r="3" spans="1:14" ht="18.75" x14ac:dyDescent="0.3">
      <c r="A3" s="1"/>
      <c r="B3" s="2"/>
      <c r="C3" s="4"/>
      <c r="D3" s="4"/>
      <c r="E3" s="68"/>
      <c r="F3" s="14"/>
      <c r="G3" s="49"/>
      <c r="H3" s="50"/>
      <c r="I3" s="51"/>
      <c r="J3" s="52"/>
      <c r="K3" s="53"/>
      <c r="M3" s="63"/>
      <c r="N3" s="64"/>
    </row>
    <row r="4" spans="1:14" x14ac:dyDescent="0.25">
      <c r="A4" s="1"/>
      <c r="B4" s="29">
        <v>1020787</v>
      </c>
      <c r="C4" s="29">
        <v>3</v>
      </c>
      <c r="D4" s="29">
        <v>162</v>
      </c>
      <c r="E4" s="69">
        <v>3</v>
      </c>
      <c r="F4" s="35">
        <v>2.83</v>
      </c>
      <c r="G4" s="49">
        <f t="shared" ref="G4:G35" si="0">ABS(E4-C4)</f>
        <v>0</v>
      </c>
      <c r="H4" s="50">
        <f t="shared" ref="H4:H35" si="1">ABS(F4-C4)</f>
        <v>0.16999999999999993</v>
      </c>
      <c r="I4" s="51"/>
      <c r="J4" s="52">
        <f t="shared" ref="J4:J35" si="2">(((2*(D4/1000)*((C4/1000)^3)*210000000000/(0.0325^3))))*(G4/1000)</f>
        <v>0</v>
      </c>
      <c r="K4" s="53">
        <f t="shared" ref="K4:K35" si="3">(((2*(D4/1000)*((C4/1000)^3)*210000000000/(0.0325^3))))*(H4/1000)</f>
        <v>9097.6014565316291</v>
      </c>
      <c r="M4" s="63">
        <f t="shared" ref="M4:M35" si="4">J4/1000</f>
        <v>0</v>
      </c>
      <c r="N4" s="64">
        <f t="shared" ref="N4:N35" si="5">K4/1000</f>
        <v>9.0976014565316294</v>
      </c>
    </row>
    <row r="5" spans="1:14" x14ac:dyDescent="0.25">
      <c r="A5" s="1"/>
      <c r="B5" s="29">
        <v>1020874</v>
      </c>
      <c r="C5" s="29">
        <v>0.9</v>
      </c>
      <c r="D5" s="29">
        <v>55</v>
      </c>
      <c r="E5" s="69">
        <v>-0.99</v>
      </c>
      <c r="F5" s="35">
        <v>0.81</v>
      </c>
      <c r="G5" s="49">
        <f t="shared" si="0"/>
        <v>1.8900000000000001</v>
      </c>
      <c r="H5" s="50">
        <f t="shared" si="1"/>
        <v>8.9999999999999969E-2</v>
      </c>
      <c r="I5" s="51"/>
      <c r="J5" s="52">
        <f t="shared" si="2"/>
        <v>927.15261902594443</v>
      </c>
      <c r="K5" s="53">
        <f t="shared" si="3"/>
        <v>44.150124715521144</v>
      </c>
      <c r="M5" s="63">
        <f t="shared" si="4"/>
        <v>0.92715261902594448</v>
      </c>
      <c r="N5" s="64">
        <f t="shared" si="5"/>
        <v>4.4150124715521141E-2</v>
      </c>
    </row>
    <row r="6" spans="1:14" x14ac:dyDescent="0.25">
      <c r="A6" s="1"/>
      <c r="B6" s="29">
        <v>1020874</v>
      </c>
      <c r="C6" s="29">
        <v>0.9</v>
      </c>
      <c r="D6" s="29">
        <v>55</v>
      </c>
      <c r="E6" s="69">
        <v>-0.99</v>
      </c>
      <c r="F6" s="35">
        <v>0.8</v>
      </c>
      <c r="G6" s="49">
        <f t="shared" si="0"/>
        <v>1.8900000000000001</v>
      </c>
      <c r="H6" s="50">
        <f t="shared" si="1"/>
        <v>9.9999999999999978E-2</v>
      </c>
      <c r="I6" s="51"/>
      <c r="J6" s="52">
        <f t="shared" si="2"/>
        <v>927.15261902594443</v>
      </c>
      <c r="K6" s="53">
        <f t="shared" si="3"/>
        <v>49.055694128356834</v>
      </c>
      <c r="M6" s="63">
        <f t="shared" si="4"/>
        <v>0.92715261902594448</v>
      </c>
      <c r="N6" s="64">
        <f t="shared" si="5"/>
        <v>4.9055694128356836E-2</v>
      </c>
    </row>
    <row r="7" spans="1:14" x14ac:dyDescent="0.25">
      <c r="A7" s="1"/>
      <c r="B7" s="29">
        <v>1020765</v>
      </c>
      <c r="C7" s="29">
        <v>0.8</v>
      </c>
      <c r="D7" s="29">
        <v>405</v>
      </c>
      <c r="E7" s="69">
        <v>-1</v>
      </c>
      <c r="F7" s="35">
        <v>0.75</v>
      </c>
      <c r="G7" s="49">
        <f t="shared" si="0"/>
        <v>1.8</v>
      </c>
      <c r="H7" s="50">
        <f t="shared" si="1"/>
        <v>5.0000000000000044E-2</v>
      </c>
      <c r="I7" s="51"/>
      <c r="J7" s="52">
        <f t="shared" si="2"/>
        <v>4566.6391624943108</v>
      </c>
      <c r="K7" s="53">
        <f t="shared" si="3"/>
        <v>126.85108784706429</v>
      </c>
      <c r="M7" s="63">
        <f t="shared" si="4"/>
        <v>4.5666391624943108</v>
      </c>
      <c r="N7" s="64">
        <f t="shared" si="5"/>
        <v>0.12685108784706428</v>
      </c>
    </row>
    <row r="8" spans="1:14" x14ac:dyDescent="0.25">
      <c r="A8" s="1"/>
      <c r="B8" s="29">
        <v>1020765</v>
      </c>
      <c r="C8" s="29">
        <v>0.8</v>
      </c>
      <c r="D8" s="29">
        <v>405</v>
      </c>
      <c r="E8" s="69">
        <v>-1</v>
      </c>
      <c r="F8" s="35">
        <v>0.75</v>
      </c>
      <c r="G8" s="49">
        <f t="shared" si="0"/>
        <v>1.8</v>
      </c>
      <c r="H8" s="50">
        <f t="shared" si="1"/>
        <v>5.0000000000000044E-2</v>
      </c>
      <c r="I8" s="51"/>
      <c r="J8" s="52">
        <f t="shared" si="2"/>
        <v>4566.6391624943108</v>
      </c>
      <c r="K8" s="53">
        <f t="shared" si="3"/>
        <v>126.85108784706429</v>
      </c>
      <c r="M8" s="63">
        <f t="shared" si="4"/>
        <v>4.5666391624943108</v>
      </c>
      <c r="N8" s="64">
        <f t="shared" si="5"/>
        <v>0.12685108784706428</v>
      </c>
    </row>
    <row r="9" spans="1:14" x14ac:dyDescent="0.25">
      <c r="A9" s="1"/>
      <c r="B9" s="29">
        <v>1020765</v>
      </c>
      <c r="C9" s="29">
        <v>0.8</v>
      </c>
      <c r="D9" s="29">
        <v>405</v>
      </c>
      <c r="E9" s="69">
        <v>-1</v>
      </c>
      <c r="F9" s="35">
        <v>0.75</v>
      </c>
      <c r="G9" s="49">
        <f t="shared" si="0"/>
        <v>1.8</v>
      </c>
      <c r="H9" s="50">
        <f t="shared" si="1"/>
        <v>5.0000000000000044E-2</v>
      </c>
      <c r="I9" s="51"/>
      <c r="J9" s="52">
        <f t="shared" si="2"/>
        <v>4566.6391624943108</v>
      </c>
      <c r="K9" s="53">
        <f t="shared" si="3"/>
        <v>126.85108784706429</v>
      </c>
      <c r="M9" s="63">
        <f t="shared" si="4"/>
        <v>4.5666391624943108</v>
      </c>
      <c r="N9" s="64">
        <f t="shared" si="5"/>
        <v>0.12685108784706428</v>
      </c>
    </row>
    <row r="10" spans="1:14" x14ac:dyDescent="0.25">
      <c r="A10" s="1"/>
      <c r="B10" s="29">
        <v>1020816</v>
      </c>
      <c r="C10" s="29">
        <v>0.9</v>
      </c>
      <c r="D10" s="29">
        <v>410</v>
      </c>
      <c r="E10" s="69">
        <v>-0.69</v>
      </c>
      <c r="F10" s="35">
        <v>0.94</v>
      </c>
      <c r="G10" s="49">
        <f t="shared" si="0"/>
        <v>1.5899999999999999</v>
      </c>
      <c r="H10" s="50">
        <f t="shared" si="1"/>
        <v>3.9999999999999925E-2</v>
      </c>
      <c r="I10" s="51"/>
      <c r="J10" s="52">
        <f t="shared" si="2"/>
        <v>5814.4376367774221</v>
      </c>
      <c r="K10" s="53">
        <f t="shared" si="3"/>
        <v>146.27516067364559</v>
      </c>
      <c r="M10" s="63">
        <f t="shared" si="4"/>
        <v>5.8144376367774218</v>
      </c>
      <c r="N10" s="64">
        <f t="shared" si="5"/>
        <v>0.1462751606736456</v>
      </c>
    </row>
    <row r="11" spans="1:14" x14ac:dyDescent="0.25">
      <c r="A11" s="1"/>
      <c r="B11" s="29">
        <v>1020816</v>
      </c>
      <c r="C11" s="29">
        <v>0.9</v>
      </c>
      <c r="D11" s="29">
        <v>410</v>
      </c>
      <c r="E11" s="69">
        <v>-0.69</v>
      </c>
      <c r="F11" s="35">
        <v>0.94</v>
      </c>
      <c r="G11" s="49">
        <f t="shared" si="0"/>
        <v>1.5899999999999999</v>
      </c>
      <c r="H11" s="50">
        <f t="shared" si="1"/>
        <v>3.9999999999999925E-2</v>
      </c>
      <c r="I11" s="51"/>
      <c r="J11" s="52">
        <f t="shared" si="2"/>
        <v>5814.4376367774221</v>
      </c>
      <c r="K11" s="53">
        <f t="shared" si="3"/>
        <v>146.27516067364559</v>
      </c>
      <c r="M11" s="63">
        <f t="shared" si="4"/>
        <v>5.8144376367774218</v>
      </c>
      <c r="N11" s="64">
        <f t="shared" si="5"/>
        <v>0.1462751606736456</v>
      </c>
    </row>
    <row r="12" spans="1:14" x14ac:dyDescent="0.25">
      <c r="A12" s="1"/>
      <c r="B12" s="29">
        <v>1020816</v>
      </c>
      <c r="C12" s="29">
        <v>0.9</v>
      </c>
      <c r="D12" s="29">
        <v>410</v>
      </c>
      <c r="E12" s="69">
        <v>-0.69</v>
      </c>
      <c r="F12" s="35">
        <v>0.94</v>
      </c>
      <c r="G12" s="49">
        <f t="shared" si="0"/>
        <v>1.5899999999999999</v>
      </c>
      <c r="H12" s="50">
        <f t="shared" si="1"/>
        <v>3.9999999999999925E-2</v>
      </c>
      <c r="I12" s="51"/>
      <c r="J12" s="52">
        <f t="shared" si="2"/>
        <v>5814.4376367774221</v>
      </c>
      <c r="K12" s="53">
        <f t="shared" si="3"/>
        <v>146.27516067364559</v>
      </c>
      <c r="M12" s="63">
        <f t="shared" si="4"/>
        <v>5.8144376367774218</v>
      </c>
      <c r="N12" s="64">
        <f t="shared" si="5"/>
        <v>0.1462751606736456</v>
      </c>
    </row>
    <row r="13" spans="1:14" x14ac:dyDescent="0.25">
      <c r="A13" s="1"/>
      <c r="B13" s="29">
        <v>1020816</v>
      </c>
      <c r="C13" s="29">
        <v>0.9</v>
      </c>
      <c r="D13" s="29">
        <v>410</v>
      </c>
      <c r="E13" s="69">
        <v>-0.69</v>
      </c>
      <c r="F13" s="35">
        <v>0.94</v>
      </c>
      <c r="G13" s="49">
        <f t="shared" si="0"/>
        <v>1.5899999999999999</v>
      </c>
      <c r="H13" s="50">
        <f t="shared" si="1"/>
        <v>3.9999999999999925E-2</v>
      </c>
      <c r="I13" s="51"/>
      <c r="J13" s="52">
        <f t="shared" si="2"/>
        <v>5814.4376367774221</v>
      </c>
      <c r="K13" s="53">
        <f t="shared" si="3"/>
        <v>146.27516067364559</v>
      </c>
      <c r="M13" s="63">
        <f t="shared" si="4"/>
        <v>5.8144376367774218</v>
      </c>
      <c r="N13" s="64">
        <f t="shared" si="5"/>
        <v>0.1462751606736456</v>
      </c>
    </row>
    <row r="14" spans="1:14" x14ac:dyDescent="0.25">
      <c r="A14" s="1"/>
      <c r="B14" s="29">
        <v>1020816</v>
      </c>
      <c r="C14" s="29">
        <v>0.9</v>
      </c>
      <c r="D14" s="29">
        <v>410</v>
      </c>
      <c r="E14" s="69">
        <v>-0.69</v>
      </c>
      <c r="F14" s="35">
        <v>0.94</v>
      </c>
      <c r="G14" s="49">
        <f t="shared" si="0"/>
        <v>1.5899999999999999</v>
      </c>
      <c r="H14" s="50">
        <f t="shared" si="1"/>
        <v>3.9999999999999925E-2</v>
      </c>
      <c r="I14" s="51"/>
      <c r="J14" s="52">
        <f t="shared" si="2"/>
        <v>5814.4376367774221</v>
      </c>
      <c r="K14" s="53">
        <f t="shared" si="3"/>
        <v>146.27516067364559</v>
      </c>
      <c r="M14" s="63">
        <f t="shared" si="4"/>
        <v>5.8144376367774218</v>
      </c>
      <c r="N14" s="64">
        <f t="shared" si="5"/>
        <v>0.1462751606736456</v>
      </c>
    </row>
    <row r="15" spans="1:14" x14ac:dyDescent="0.25">
      <c r="A15" s="1"/>
      <c r="B15" s="29">
        <v>1020816</v>
      </c>
      <c r="C15" s="29">
        <v>0.9</v>
      </c>
      <c r="D15" s="29">
        <v>410</v>
      </c>
      <c r="E15" s="69">
        <v>-0.69</v>
      </c>
      <c r="F15" s="35">
        <v>0.94</v>
      </c>
      <c r="G15" s="49">
        <f t="shared" si="0"/>
        <v>1.5899999999999999</v>
      </c>
      <c r="H15" s="50">
        <f t="shared" si="1"/>
        <v>3.9999999999999925E-2</v>
      </c>
      <c r="I15" s="51"/>
      <c r="J15" s="52">
        <f t="shared" si="2"/>
        <v>5814.4376367774221</v>
      </c>
      <c r="K15" s="53">
        <f t="shared" si="3"/>
        <v>146.27516067364559</v>
      </c>
      <c r="M15" s="63">
        <f t="shared" si="4"/>
        <v>5.8144376367774218</v>
      </c>
      <c r="N15" s="64">
        <f t="shared" si="5"/>
        <v>0.1462751606736456</v>
      </c>
    </row>
    <row r="16" spans="1:14" x14ac:dyDescent="0.25">
      <c r="A16" s="1"/>
      <c r="B16" s="29">
        <v>1020816</v>
      </c>
      <c r="C16" s="29">
        <v>0.9</v>
      </c>
      <c r="D16" s="29">
        <v>410</v>
      </c>
      <c r="E16" s="69">
        <v>-0.69</v>
      </c>
      <c r="F16" s="35">
        <v>0.94</v>
      </c>
      <c r="G16" s="49">
        <f t="shared" si="0"/>
        <v>1.5899999999999999</v>
      </c>
      <c r="H16" s="50">
        <f t="shared" si="1"/>
        <v>3.9999999999999925E-2</v>
      </c>
      <c r="I16" s="51"/>
      <c r="J16" s="52">
        <f t="shared" si="2"/>
        <v>5814.4376367774221</v>
      </c>
      <c r="K16" s="53">
        <f t="shared" si="3"/>
        <v>146.27516067364559</v>
      </c>
      <c r="M16" s="63">
        <f t="shared" si="4"/>
        <v>5.8144376367774218</v>
      </c>
      <c r="N16" s="64">
        <f t="shared" si="5"/>
        <v>0.1462751606736456</v>
      </c>
    </row>
    <row r="17" spans="1:14" x14ac:dyDescent="0.25">
      <c r="A17" s="1"/>
      <c r="B17" s="29">
        <v>1020816</v>
      </c>
      <c r="C17" s="29">
        <v>0.9</v>
      </c>
      <c r="D17" s="29">
        <v>410</v>
      </c>
      <c r="E17" s="69">
        <v>-0.69</v>
      </c>
      <c r="F17" s="35">
        <v>0.94</v>
      </c>
      <c r="G17" s="49">
        <f t="shared" si="0"/>
        <v>1.5899999999999999</v>
      </c>
      <c r="H17" s="50">
        <f t="shared" si="1"/>
        <v>3.9999999999999925E-2</v>
      </c>
      <c r="I17" s="51"/>
      <c r="J17" s="52">
        <f t="shared" si="2"/>
        <v>5814.4376367774221</v>
      </c>
      <c r="K17" s="53">
        <f t="shared" si="3"/>
        <v>146.27516067364559</v>
      </c>
      <c r="M17" s="63">
        <f t="shared" si="4"/>
        <v>5.8144376367774218</v>
      </c>
      <c r="N17" s="64">
        <f t="shared" si="5"/>
        <v>0.1462751606736456</v>
      </c>
    </row>
    <row r="18" spans="1:14" x14ac:dyDescent="0.25">
      <c r="A18" s="1"/>
      <c r="B18" s="29">
        <v>1020816</v>
      </c>
      <c r="C18" s="29">
        <v>0.9</v>
      </c>
      <c r="D18" s="29">
        <v>410</v>
      </c>
      <c r="E18" s="69">
        <v>-0.69</v>
      </c>
      <c r="F18" s="35">
        <v>0.94</v>
      </c>
      <c r="G18" s="49">
        <f t="shared" si="0"/>
        <v>1.5899999999999999</v>
      </c>
      <c r="H18" s="50">
        <f t="shared" si="1"/>
        <v>3.9999999999999925E-2</v>
      </c>
      <c r="I18" s="51"/>
      <c r="J18" s="52">
        <f t="shared" si="2"/>
        <v>5814.4376367774221</v>
      </c>
      <c r="K18" s="53">
        <f t="shared" si="3"/>
        <v>146.27516067364559</v>
      </c>
      <c r="M18" s="63">
        <f t="shared" si="4"/>
        <v>5.8144376367774218</v>
      </c>
      <c r="N18" s="64">
        <f t="shared" si="5"/>
        <v>0.1462751606736456</v>
      </c>
    </row>
    <row r="19" spans="1:14" x14ac:dyDescent="0.25">
      <c r="A19" s="1"/>
      <c r="B19" s="29">
        <v>1020816</v>
      </c>
      <c r="C19" s="29">
        <v>0.9</v>
      </c>
      <c r="D19" s="29">
        <v>410</v>
      </c>
      <c r="E19" s="69">
        <v>-0.69</v>
      </c>
      <c r="F19" s="35">
        <v>0.94</v>
      </c>
      <c r="G19" s="49">
        <f t="shared" si="0"/>
        <v>1.5899999999999999</v>
      </c>
      <c r="H19" s="50">
        <f t="shared" si="1"/>
        <v>3.9999999999999925E-2</v>
      </c>
      <c r="I19" s="51"/>
      <c r="J19" s="52">
        <f t="shared" si="2"/>
        <v>5814.4376367774221</v>
      </c>
      <c r="K19" s="53">
        <f t="shared" si="3"/>
        <v>146.27516067364559</v>
      </c>
      <c r="M19" s="63">
        <f t="shared" si="4"/>
        <v>5.8144376367774218</v>
      </c>
      <c r="N19" s="64">
        <f t="shared" si="5"/>
        <v>0.1462751606736456</v>
      </c>
    </row>
    <row r="20" spans="1:14" x14ac:dyDescent="0.25">
      <c r="A20" s="1"/>
      <c r="B20" s="29">
        <v>1020816</v>
      </c>
      <c r="C20" s="29">
        <v>0.9</v>
      </c>
      <c r="D20" s="29">
        <v>410</v>
      </c>
      <c r="E20" s="69">
        <v>-0.69</v>
      </c>
      <c r="F20" s="35">
        <v>0.94</v>
      </c>
      <c r="G20" s="49">
        <f t="shared" si="0"/>
        <v>1.5899999999999999</v>
      </c>
      <c r="H20" s="50">
        <f t="shared" si="1"/>
        <v>3.9999999999999925E-2</v>
      </c>
      <c r="I20" s="51"/>
      <c r="J20" s="52">
        <f t="shared" si="2"/>
        <v>5814.4376367774221</v>
      </c>
      <c r="K20" s="53">
        <f t="shared" si="3"/>
        <v>146.27516067364559</v>
      </c>
      <c r="M20" s="63">
        <f t="shared" si="4"/>
        <v>5.8144376367774218</v>
      </c>
      <c r="N20" s="64">
        <f t="shared" si="5"/>
        <v>0.1462751606736456</v>
      </c>
    </row>
    <row r="21" spans="1:14" x14ac:dyDescent="0.25">
      <c r="A21" s="1"/>
      <c r="B21" s="29">
        <v>1020816</v>
      </c>
      <c r="C21" s="29">
        <v>0.9</v>
      </c>
      <c r="D21" s="29">
        <v>410</v>
      </c>
      <c r="E21" s="69">
        <v>-0.7</v>
      </c>
      <c r="F21" s="35">
        <v>0.93</v>
      </c>
      <c r="G21" s="49">
        <f t="shared" si="0"/>
        <v>1.6</v>
      </c>
      <c r="H21" s="50">
        <f t="shared" si="1"/>
        <v>3.0000000000000027E-2</v>
      </c>
      <c r="I21" s="51"/>
      <c r="J21" s="52">
        <f t="shared" si="2"/>
        <v>5851.0064269458353</v>
      </c>
      <c r="K21" s="53">
        <f t="shared" si="3"/>
        <v>109.7063705052345</v>
      </c>
      <c r="M21" s="63">
        <f t="shared" si="4"/>
        <v>5.8510064269458351</v>
      </c>
      <c r="N21" s="64">
        <f t="shared" si="5"/>
        <v>0.1097063705052345</v>
      </c>
    </row>
    <row r="22" spans="1:14" x14ac:dyDescent="0.25">
      <c r="A22" s="1"/>
      <c r="B22" s="29">
        <v>1020816</v>
      </c>
      <c r="C22" s="29">
        <v>0.9</v>
      </c>
      <c r="D22" s="29">
        <v>410</v>
      </c>
      <c r="E22" s="69">
        <v>-0.7</v>
      </c>
      <c r="F22" s="35">
        <v>0.93</v>
      </c>
      <c r="G22" s="49">
        <f t="shared" si="0"/>
        <v>1.6</v>
      </c>
      <c r="H22" s="50">
        <f t="shared" si="1"/>
        <v>3.0000000000000027E-2</v>
      </c>
      <c r="I22" s="51"/>
      <c r="J22" s="52">
        <f t="shared" si="2"/>
        <v>5851.0064269458353</v>
      </c>
      <c r="K22" s="53">
        <f t="shared" si="3"/>
        <v>109.7063705052345</v>
      </c>
      <c r="M22" s="63">
        <f t="shared" si="4"/>
        <v>5.8510064269458351</v>
      </c>
      <c r="N22" s="64">
        <f t="shared" si="5"/>
        <v>0.1097063705052345</v>
      </c>
    </row>
    <row r="23" spans="1:14" x14ac:dyDescent="0.25">
      <c r="A23" s="1"/>
      <c r="B23" s="29">
        <v>1020816</v>
      </c>
      <c r="C23" s="29">
        <v>0.9</v>
      </c>
      <c r="D23" s="29">
        <v>410</v>
      </c>
      <c r="E23" s="69">
        <v>-0.71</v>
      </c>
      <c r="F23" s="35">
        <v>0.91</v>
      </c>
      <c r="G23" s="49">
        <f t="shared" si="0"/>
        <v>1.6099999999999999</v>
      </c>
      <c r="H23" s="50">
        <f t="shared" si="1"/>
        <v>1.0000000000000009E-2</v>
      </c>
      <c r="I23" s="51"/>
      <c r="J23" s="52">
        <f t="shared" si="2"/>
        <v>5887.5752171142458</v>
      </c>
      <c r="K23" s="53">
        <f t="shared" si="3"/>
        <v>36.568790168411503</v>
      </c>
      <c r="M23" s="63">
        <f t="shared" si="4"/>
        <v>5.8875752171142457</v>
      </c>
      <c r="N23" s="64">
        <f t="shared" si="5"/>
        <v>3.6568790168411504E-2</v>
      </c>
    </row>
    <row r="24" spans="1:14" x14ac:dyDescent="0.25">
      <c r="A24" s="1"/>
      <c r="B24" s="29">
        <v>1020681</v>
      </c>
      <c r="C24" s="29">
        <v>0.96</v>
      </c>
      <c r="D24" s="29">
        <v>385</v>
      </c>
      <c r="E24" s="69">
        <v>-1</v>
      </c>
      <c r="F24" s="35">
        <v>0.6</v>
      </c>
      <c r="G24" s="49">
        <f t="shared" si="0"/>
        <v>1.96</v>
      </c>
      <c r="H24" s="50">
        <f t="shared" si="1"/>
        <v>0.36</v>
      </c>
      <c r="I24" s="51"/>
      <c r="J24" s="52">
        <f t="shared" si="2"/>
        <v>8168.2629025616716</v>
      </c>
      <c r="K24" s="53">
        <f t="shared" si="3"/>
        <v>1500.2931861847969</v>
      </c>
      <c r="M24" s="63">
        <f t="shared" si="4"/>
        <v>8.168262902561672</v>
      </c>
      <c r="N24" s="64">
        <f t="shared" si="5"/>
        <v>1.500293186184797</v>
      </c>
    </row>
    <row r="25" spans="1:14" x14ac:dyDescent="0.25">
      <c r="A25" s="1"/>
      <c r="B25" s="29">
        <v>1020874</v>
      </c>
      <c r="C25" s="29">
        <v>0.9</v>
      </c>
      <c r="D25" s="29">
        <v>550</v>
      </c>
      <c r="E25" s="69">
        <v>-0.81</v>
      </c>
      <c r="F25" s="35">
        <v>0.8</v>
      </c>
      <c r="G25" s="49">
        <f t="shared" si="0"/>
        <v>1.71</v>
      </c>
      <c r="H25" s="50">
        <f t="shared" si="1"/>
        <v>9.9999999999999978E-2</v>
      </c>
      <c r="I25" s="51"/>
      <c r="J25" s="52">
        <f t="shared" si="2"/>
        <v>8388.5236959490212</v>
      </c>
      <c r="K25" s="53">
        <f t="shared" si="3"/>
        <v>490.55694128356834</v>
      </c>
      <c r="M25" s="63">
        <f t="shared" si="4"/>
        <v>8.3885236959490204</v>
      </c>
      <c r="N25" s="64">
        <f t="shared" si="5"/>
        <v>0.49055694128356836</v>
      </c>
    </row>
    <row r="26" spans="1:14" x14ac:dyDescent="0.25">
      <c r="A26" s="1"/>
      <c r="B26" s="29">
        <v>1020874</v>
      </c>
      <c r="C26" s="29">
        <v>0.9</v>
      </c>
      <c r="D26" s="29">
        <v>550</v>
      </c>
      <c r="E26" s="69">
        <v>-0.99</v>
      </c>
      <c r="F26" s="35">
        <v>0.81</v>
      </c>
      <c r="G26" s="49">
        <f t="shared" si="0"/>
        <v>1.8900000000000001</v>
      </c>
      <c r="H26" s="50">
        <f t="shared" si="1"/>
        <v>8.9999999999999969E-2</v>
      </c>
      <c r="I26" s="51"/>
      <c r="J26" s="52">
        <f t="shared" si="2"/>
        <v>9271.5261902594448</v>
      </c>
      <c r="K26" s="53">
        <f t="shared" si="3"/>
        <v>441.50124715521144</v>
      </c>
      <c r="M26" s="63">
        <f t="shared" si="4"/>
        <v>9.2715261902594452</v>
      </c>
      <c r="N26" s="64">
        <f t="shared" si="5"/>
        <v>0.44150124715521144</v>
      </c>
    </row>
    <row r="27" spans="1:14" x14ac:dyDescent="0.25">
      <c r="A27" s="1"/>
      <c r="B27" s="29">
        <v>1020874</v>
      </c>
      <c r="C27" s="29">
        <v>0.9</v>
      </c>
      <c r="D27" s="29">
        <v>550</v>
      </c>
      <c r="E27" s="69">
        <v>-0.99</v>
      </c>
      <c r="F27" s="35">
        <v>0.81</v>
      </c>
      <c r="G27" s="49">
        <f t="shared" si="0"/>
        <v>1.8900000000000001</v>
      </c>
      <c r="H27" s="50">
        <f t="shared" si="1"/>
        <v>8.9999999999999969E-2</v>
      </c>
      <c r="I27" s="51"/>
      <c r="J27" s="52">
        <f t="shared" si="2"/>
        <v>9271.5261902594448</v>
      </c>
      <c r="K27" s="53">
        <f t="shared" si="3"/>
        <v>441.50124715521144</v>
      </c>
      <c r="M27" s="63">
        <f t="shared" si="4"/>
        <v>9.2715261902594452</v>
      </c>
      <c r="N27" s="64">
        <f t="shared" si="5"/>
        <v>0.44150124715521144</v>
      </c>
    </row>
    <row r="28" spans="1:14" x14ac:dyDescent="0.25">
      <c r="A28" s="1"/>
      <c r="B28" s="29">
        <v>1020874</v>
      </c>
      <c r="C28" s="29">
        <v>0.9</v>
      </c>
      <c r="D28" s="29">
        <v>550</v>
      </c>
      <c r="E28" s="69">
        <v>-0.99</v>
      </c>
      <c r="F28" s="35">
        <v>0.81</v>
      </c>
      <c r="G28" s="49">
        <f t="shared" si="0"/>
        <v>1.8900000000000001</v>
      </c>
      <c r="H28" s="50">
        <f t="shared" si="1"/>
        <v>8.9999999999999969E-2</v>
      </c>
      <c r="I28" s="51"/>
      <c r="J28" s="52">
        <f t="shared" si="2"/>
        <v>9271.5261902594448</v>
      </c>
      <c r="K28" s="53">
        <f t="shared" si="3"/>
        <v>441.50124715521144</v>
      </c>
      <c r="M28" s="63">
        <f t="shared" si="4"/>
        <v>9.2715261902594452</v>
      </c>
      <c r="N28" s="64">
        <f t="shared" si="5"/>
        <v>0.44150124715521144</v>
      </c>
    </row>
    <row r="29" spans="1:14" x14ac:dyDescent="0.25">
      <c r="A29" s="1"/>
      <c r="B29" s="7">
        <v>1020874</v>
      </c>
      <c r="C29" s="7">
        <v>0.9</v>
      </c>
      <c r="D29" s="7">
        <v>550</v>
      </c>
      <c r="E29" s="70">
        <v>-0.99</v>
      </c>
      <c r="F29" s="55">
        <v>0.81</v>
      </c>
      <c r="G29" s="49">
        <f t="shared" si="0"/>
        <v>1.8900000000000001</v>
      </c>
      <c r="H29" s="50">
        <f t="shared" si="1"/>
        <v>8.9999999999999969E-2</v>
      </c>
      <c r="I29" s="51"/>
      <c r="J29" s="52">
        <f t="shared" si="2"/>
        <v>9271.5261902594448</v>
      </c>
      <c r="K29" s="53">
        <f t="shared" si="3"/>
        <v>441.50124715521144</v>
      </c>
      <c r="M29" s="63">
        <f t="shared" si="4"/>
        <v>9.2715261902594452</v>
      </c>
      <c r="N29" s="64">
        <f t="shared" si="5"/>
        <v>0.44150124715521144</v>
      </c>
    </row>
    <row r="30" spans="1:14" x14ac:dyDescent="0.25">
      <c r="A30" s="1"/>
      <c r="B30" s="29">
        <v>1020874</v>
      </c>
      <c r="C30" s="29">
        <v>0.9</v>
      </c>
      <c r="D30" s="29">
        <v>550</v>
      </c>
      <c r="E30" s="69">
        <v>-1</v>
      </c>
      <c r="F30" s="35">
        <v>0.8</v>
      </c>
      <c r="G30" s="49">
        <f t="shared" si="0"/>
        <v>1.9</v>
      </c>
      <c r="H30" s="50">
        <f t="shared" si="1"/>
        <v>9.9999999999999978E-2</v>
      </c>
      <c r="I30" s="51"/>
      <c r="J30" s="52">
        <f t="shared" si="2"/>
        <v>9320.5818843878005</v>
      </c>
      <c r="K30" s="53">
        <f t="shared" si="3"/>
        <v>490.55694128356834</v>
      </c>
      <c r="M30" s="63">
        <f t="shared" si="4"/>
        <v>9.320581884387801</v>
      </c>
      <c r="N30" s="64">
        <f t="shared" si="5"/>
        <v>0.49055694128356836</v>
      </c>
    </row>
    <row r="31" spans="1:14" x14ac:dyDescent="0.25">
      <c r="A31" s="1"/>
      <c r="B31" s="29">
        <v>1020761</v>
      </c>
      <c r="C31" s="29">
        <v>1</v>
      </c>
      <c r="D31" s="29">
        <v>399</v>
      </c>
      <c r="E31" s="69">
        <v>-0.99</v>
      </c>
      <c r="F31" s="35">
        <v>0.75</v>
      </c>
      <c r="G31" s="49">
        <f t="shared" si="0"/>
        <v>1.99</v>
      </c>
      <c r="H31" s="50">
        <f t="shared" si="1"/>
        <v>0.25</v>
      </c>
      <c r="I31" s="51"/>
      <c r="J31" s="52">
        <f t="shared" si="2"/>
        <v>9714.6057350933097</v>
      </c>
      <c r="K31" s="53">
        <f t="shared" si="3"/>
        <v>1220.4278561675014</v>
      </c>
      <c r="M31" s="63">
        <f t="shared" si="4"/>
        <v>9.7146057350933095</v>
      </c>
      <c r="N31" s="64">
        <f t="shared" si="5"/>
        <v>1.2204278561675015</v>
      </c>
    </row>
    <row r="32" spans="1:14" x14ac:dyDescent="0.25">
      <c r="A32" s="1"/>
      <c r="B32" s="29">
        <v>1017081</v>
      </c>
      <c r="C32" s="29">
        <v>2</v>
      </c>
      <c r="D32" s="29">
        <v>493</v>
      </c>
      <c r="E32" s="69">
        <v>1.51</v>
      </c>
      <c r="F32" s="35">
        <v>1.91</v>
      </c>
      <c r="G32" s="49">
        <f t="shared" si="0"/>
        <v>0.49</v>
      </c>
      <c r="H32" s="50">
        <f t="shared" si="1"/>
        <v>9.000000000000008E-2</v>
      </c>
      <c r="I32" s="51"/>
      <c r="J32" s="52">
        <f t="shared" si="2"/>
        <v>23644.612107419212</v>
      </c>
      <c r="K32" s="53">
        <f t="shared" si="3"/>
        <v>4342.8879380974095</v>
      </c>
      <c r="M32" s="63">
        <f t="shared" si="4"/>
        <v>23.644612107419213</v>
      </c>
      <c r="N32" s="64">
        <f t="shared" si="5"/>
        <v>4.3428879380974097</v>
      </c>
    </row>
    <row r="33" spans="1:14" x14ac:dyDescent="0.25">
      <c r="A33" s="1"/>
      <c r="B33" s="29">
        <v>1017081</v>
      </c>
      <c r="C33" s="29">
        <v>2</v>
      </c>
      <c r="D33" s="29">
        <v>493</v>
      </c>
      <c r="E33" s="69">
        <v>1.51</v>
      </c>
      <c r="F33" s="35">
        <v>1.91</v>
      </c>
      <c r="G33" s="49">
        <f t="shared" si="0"/>
        <v>0.49</v>
      </c>
      <c r="H33" s="50">
        <f t="shared" si="1"/>
        <v>9.000000000000008E-2</v>
      </c>
      <c r="I33" s="51"/>
      <c r="J33" s="52">
        <f t="shared" si="2"/>
        <v>23644.612107419212</v>
      </c>
      <c r="K33" s="53">
        <f t="shared" si="3"/>
        <v>4342.8879380974095</v>
      </c>
      <c r="M33" s="63">
        <f t="shared" si="4"/>
        <v>23.644612107419213</v>
      </c>
      <c r="N33" s="64">
        <f t="shared" si="5"/>
        <v>4.3428879380974097</v>
      </c>
    </row>
    <row r="34" spans="1:14" x14ac:dyDescent="0.25">
      <c r="A34" s="1"/>
      <c r="B34" s="29">
        <v>1020842</v>
      </c>
      <c r="C34" s="29">
        <v>1.2</v>
      </c>
      <c r="D34" s="29">
        <v>670</v>
      </c>
      <c r="E34" s="69">
        <v>-0.5</v>
      </c>
      <c r="F34" s="35">
        <v>1.3</v>
      </c>
      <c r="G34" s="49">
        <f t="shared" si="0"/>
        <v>1.7</v>
      </c>
      <c r="H34" s="50">
        <f t="shared" si="1"/>
        <v>0.10000000000000009</v>
      </c>
      <c r="I34" s="51"/>
      <c r="J34" s="52">
        <f t="shared" si="2"/>
        <v>24080.564842967677</v>
      </c>
      <c r="K34" s="53">
        <f t="shared" si="3"/>
        <v>1416.5038142922176</v>
      </c>
      <c r="M34" s="63">
        <f t="shared" si="4"/>
        <v>24.080564842967675</v>
      </c>
      <c r="N34" s="64">
        <f t="shared" si="5"/>
        <v>1.4165038142922177</v>
      </c>
    </row>
    <row r="35" spans="1:14" x14ac:dyDescent="0.25">
      <c r="A35" s="1"/>
      <c r="B35" s="29">
        <v>1020842</v>
      </c>
      <c r="C35" s="29">
        <v>1.2</v>
      </c>
      <c r="D35" s="29">
        <v>670</v>
      </c>
      <c r="E35" s="69">
        <v>-0.5</v>
      </c>
      <c r="F35" s="35">
        <v>1.3</v>
      </c>
      <c r="G35" s="49">
        <f t="shared" si="0"/>
        <v>1.7</v>
      </c>
      <c r="H35" s="50">
        <f t="shared" si="1"/>
        <v>0.10000000000000009</v>
      </c>
      <c r="I35" s="51"/>
      <c r="J35" s="52">
        <f t="shared" si="2"/>
        <v>24080.564842967677</v>
      </c>
      <c r="K35" s="53">
        <f t="shared" si="3"/>
        <v>1416.5038142922176</v>
      </c>
      <c r="M35" s="63">
        <f t="shared" si="4"/>
        <v>24.080564842967675</v>
      </c>
      <c r="N35" s="64">
        <f t="shared" si="5"/>
        <v>1.4165038142922177</v>
      </c>
    </row>
    <row r="36" spans="1:14" x14ac:dyDescent="0.25">
      <c r="A36" s="1"/>
      <c r="B36" s="29">
        <v>1021237</v>
      </c>
      <c r="C36" s="29">
        <v>2</v>
      </c>
      <c r="D36" s="29">
        <v>300</v>
      </c>
      <c r="E36" s="69">
        <v>0.99</v>
      </c>
      <c r="F36" s="35">
        <v>1.99</v>
      </c>
      <c r="G36" s="49">
        <f t="shared" ref="G36:G67" si="6">ABS(E36-C36)</f>
        <v>1.01</v>
      </c>
      <c r="H36" s="50">
        <f t="shared" ref="H36:H67" si="7">ABS(F36-C36)</f>
        <v>1.0000000000000009E-2</v>
      </c>
      <c r="I36" s="51"/>
      <c r="J36" s="52">
        <f t="shared" ref="J36:J67" si="8">(((2*(D36/1000)*((C36/1000)^3)*210000000000/(0.0325^3))))*(G36/1000)</f>
        <v>29657.314519799726</v>
      </c>
      <c r="K36" s="53">
        <f t="shared" ref="K36:K67" si="9">(((2*(D36/1000)*((C36/1000)^3)*210000000000/(0.0325^3))))*(H36/1000)</f>
        <v>293.63677742375995</v>
      </c>
      <c r="M36" s="63">
        <f t="shared" ref="M36:M67" si="10">J36/1000</f>
        <v>29.657314519799726</v>
      </c>
      <c r="N36" s="64">
        <f t="shared" ref="N36:N67" si="11">K36/1000</f>
        <v>0.29363677742375993</v>
      </c>
    </row>
    <row r="37" spans="1:14" x14ac:dyDescent="0.25">
      <c r="A37" s="1"/>
      <c r="B37" s="29">
        <v>1021237</v>
      </c>
      <c r="C37" s="29">
        <v>2</v>
      </c>
      <c r="D37" s="29">
        <v>300</v>
      </c>
      <c r="E37" s="69">
        <v>0.99</v>
      </c>
      <c r="F37" s="35">
        <v>1.99</v>
      </c>
      <c r="G37" s="49">
        <f t="shared" si="6"/>
        <v>1.01</v>
      </c>
      <c r="H37" s="50">
        <f t="shared" si="7"/>
        <v>1.0000000000000009E-2</v>
      </c>
      <c r="I37" s="51"/>
      <c r="J37" s="52">
        <f t="shared" si="8"/>
        <v>29657.314519799726</v>
      </c>
      <c r="K37" s="53">
        <f t="shared" si="9"/>
        <v>293.63677742375995</v>
      </c>
      <c r="M37" s="63">
        <f t="shared" si="10"/>
        <v>29.657314519799726</v>
      </c>
      <c r="N37" s="64">
        <f t="shared" si="11"/>
        <v>0.29363677742375993</v>
      </c>
    </row>
    <row r="38" spans="1:14" x14ac:dyDescent="0.25">
      <c r="A38" s="1"/>
      <c r="B38" s="29">
        <v>1017089</v>
      </c>
      <c r="C38" s="29">
        <v>3</v>
      </c>
      <c r="D38" s="29">
        <v>236</v>
      </c>
      <c r="E38" s="69">
        <v>2.35</v>
      </c>
      <c r="F38" s="35">
        <v>3</v>
      </c>
      <c r="G38" s="49">
        <f t="shared" si="6"/>
        <v>0.64999999999999991</v>
      </c>
      <c r="H38" s="50">
        <f t="shared" si="7"/>
        <v>0</v>
      </c>
      <c r="I38" s="51"/>
      <c r="J38" s="52">
        <f t="shared" si="8"/>
        <v>50674.366863905307</v>
      </c>
      <c r="K38" s="53">
        <f t="shared" si="9"/>
        <v>0</v>
      </c>
      <c r="M38" s="63">
        <f t="shared" si="10"/>
        <v>50.674366863905306</v>
      </c>
      <c r="N38" s="64">
        <f t="shared" si="11"/>
        <v>0</v>
      </c>
    </row>
    <row r="39" spans="1:14" x14ac:dyDescent="0.25">
      <c r="A39" s="1"/>
      <c r="B39" s="29">
        <v>1017089</v>
      </c>
      <c r="C39" s="29">
        <v>3</v>
      </c>
      <c r="D39" s="29">
        <v>236</v>
      </c>
      <c r="E39" s="69">
        <v>2.35</v>
      </c>
      <c r="F39" s="35">
        <v>3</v>
      </c>
      <c r="G39" s="49">
        <f t="shared" si="6"/>
        <v>0.64999999999999991</v>
      </c>
      <c r="H39" s="50">
        <f t="shared" si="7"/>
        <v>0</v>
      </c>
      <c r="I39" s="51"/>
      <c r="J39" s="52">
        <f t="shared" si="8"/>
        <v>50674.366863905307</v>
      </c>
      <c r="K39" s="53">
        <f t="shared" si="9"/>
        <v>0</v>
      </c>
      <c r="M39" s="63">
        <f t="shared" si="10"/>
        <v>50.674366863905306</v>
      </c>
      <c r="N39" s="64">
        <f t="shared" si="11"/>
        <v>0</v>
      </c>
    </row>
    <row r="40" spans="1:14" x14ac:dyDescent="0.25">
      <c r="A40" s="1"/>
      <c r="B40" s="29">
        <v>1017089</v>
      </c>
      <c r="C40" s="29">
        <v>3</v>
      </c>
      <c r="D40" s="29">
        <v>236</v>
      </c>
      <c r="E40" s="69">
        <v>2.35</v>
      </c>
      <c r="F40" s="35">
        <v>3</v>
      </c>
      <c r="G40" s="49">
        <f t="shared" si="6"/>
        <v>0.64999999999999991</v>
      </c>
      <c r="H40" s="50">
        <f t="shared" si="7"/>
        <v>0</v>
      </c>
      <c r="I40" s="51"/>
      <c r="J40" s="52">
        <f t="shared" si="8"/>
        <v>50674.366863905307</v>
      </c>
      <c r="K40" s="53">
        <f t="shared" si="9"/>
        <v>0</v>
      </c>
      <c r="M40" s="63">
        <f t="shared" si="10"/>
        <v>50.674366863905306</v>
      </c>
      <c r="N40" s="64">
        <f t="shared" si="11"/>
        <v>0</v>
      </c>
    </row>
    <row r="41" spans="1:14" x14ac:dyDescent="0.25">
      <c r="A41" s="1"/>
      <c r="B41" s="29">
        <v>1021179</v>
      </c>
      <c r="C41" s="29">
        <v>1.5</v>
      </c>
      <c r="D41" s="29">
        <v>618</v>
      </c>
      <c r="E41" s="69">
        <v>-0.5</v>
      </c>
      <c r="F41" s="35">
        <v>1.2</v>
      </c>
      <c r="G41" s="49">
        <f t="shared" si="6"/>
        <v>2</v>
      </c>
      <c r="H41" s="50">
        <f t="shared" si="7"/>
        <v>0.30000000000000004</v>
      </c>
      <c r="I41" s="51"/>
      <c r="J41" s="52">
        <f t="shared" si="8"/>
        <v>51037.742375967231</v>
      </c>
      <c r="K41" s="53">
        <f t="shared" si="9"/>
        <v>7655.661356395085</v>
      </c>
      <c r="M41" s="63">
        <f t="shared" si="10"/>
        <v>51.037742375967234</v>
      </c>
      <c r="N41" s="64">
        <f t="shared" si="11"/>
        <v>7.6556613563950853</v>
      </c>
    </row>
    <row r="42" spans="1:14" x14ac:dyDescent="0.25">
      <c r="A42" s="1"/>
      <c r="B42" s="29">
        <v>1021179</v>
      </c>
      <c r="C42" s="29">
        <v>1.5</v>
      </c>
      <c r="D42" s="29">
        <v>618</v>
      </c>
      <c r="E42" s="69">
        <v>-0.5</v>
      </c>
      <c r="F42" s="35">
        <v>1.2</v>
      </c>
      <c r="G42" s="49">
        <f t="shared" si="6"/>
        <v>2</v>
      </c>
      <c r="H42" s="50">
        <f t="shared" si="7"/>
        <v>0.30000000000000004</v>
      </c>
      <c r="I42" s="51"/>
      <c r="J42" s="52">
        <f t="shared" si="8"/>
        <v>51037.742375967231</v>
      </c>
      <c r="K42" s="53">
        <f t="shared" si="9"/>
        <v>7655.661356395085</v>
      </c>
      <c r="M42" s="63">
        <f t="shared" si="10"/>
        <v>51.037742375967234</v>
      </c>
      <c r="N42" s="64">
        <f t="shared" si="11"/>
        <v>7.6556613563950853</v>
      </c>
    </row>
    <row r="43" spans="1:14" x14ac:dyDescent="0.25">
      <c r="A43" s="1"/>
      <c r="B43" s="29">
        <v>1021179</v>
      </c>
      <c r="C43" s="29">
        <v>1.5</v>
      </c>
      <c r="D43" s="29">
        <v>618</v>
      </c>
      <c r="E43" s="69">
        <v>-0.51</v>
      </c>
      <c r="F43" s="35">
        <v>1.21</v>
      </c>
      <c r="G43" s="49">
        <f t="shared" si="6"/>
        <v>2.0099999999999998</v>
      </c>
      <c r="H43" s="50">
        <f t="shared" si="7"/>
        <v>0.29000000000000004</v>
      </c>
      <c r="I43" s="51"/>
      <c r="J43" s="52">
        <f t="shared" si="8"/>
        <v>51292.931087847057</v>
      </c>
      <c r="K43" s="53">
        <f t="shared" si="9"/>
        <v>7400.4726445152492</v>
      </c>
      <c r="M43" s="63">
        <f t="shared" si="10"/>
        <v>51.292931087847059</v>
      </c>
      <c r="N43" s="64">
        <f t="shared" si="11"/>
        <v>7.4004726445152489</v>
      </c>
    </row>
    <row r="44" spans="1:14" x14ac:dyDescent="0.25">
      <c r="A44" s="1"/>
      <c r="B44" s="29">
        <v>1021179</v>
      </c>
      <c r="C44" s="29">
        <v>1.5</v>
      </c>
      <c r="D44" s="29">
        <v>618</v>
      </c>
      <c r="E44" s="69">
        <v>-0.51</v>
      </c>
      <c r="F44" s="35">
        <v>1.21</v>
      </c>
      <c r="G44" s="49">
        <f t="shared" si="6"/>
        <v>2.0099999999999998</v>
      </c>
      <c r="H44" s="50">
        <f t="shared" si="7"/>
        <v>0.29000000000000004</v>
      </c>
      <c r="I44" s="51"/>
      <c r="J44" s="52">
        <f t="shared" si="8"/>
        <v>51292.931087847057</v>
      </c>
      <c r="K44" s="53">
        <f t="shared" si="9"/>
        <v>7400.4726445152492</v>
      </c>
      <c r="M44" s="63">
        <f t="shared" si="10"/>
        <v>51.292931087847059</v>
      </c>
      <c r="N44" s="64">
        <f t="shared" si="11"/>
        <v>7.4004726445152489</v>
      </c>
    </row>
    <row r="45" spans="1:14" x14ac:dyDescent="0.25">
      <c r="A45" s="1"/>
      <c r="B45" s="29">
        <v>1021179</v>
      </c>
      <c r="C45" s="29">
        <v>1.5</v>
      </c>
      <c r="D45" s="29">
        <v>618</v>
      </c>
      <c r="E45" s="69">
        <v>-0.51</v>
      </c>
      <c r="F45" s="35">
        <v>1.21</v>
      </c>
      <c r="G45" s="49">
        <f t="shared" si="6"/>
        <v>2.0099999999999998</v>
      </c>
      <c r="H45" s="50">
        <f t="shared" si="7"/>
        <v>0.29000000000000004</v>
      </c>
      <c r="I45" s="51"/>
      <c r="J45" s="52">
        <f t="shared" si="8"/>
        <v>51292.931087847057</v>
      </c>
      <c r="K45" s="53">
        <f t="shared" si="9"/>
        <v>7400.4726445152492</v>
      </c>
      <c r="M45" s="63">
        <f t="shared" si="10"/>
        <v>51.292931087847059</v>
      </c>
      <c r="N45" s="64">
        <f t="shared" si="11"/>
        <v>7.4004726445152489</v>
      </c>
    </row>
    <row r="46" spans="1:14" x14ac:dyDescent="0.25">
      <c r="A46" s="1"/>
      <c r="B46" s="29">
        <v>1021179</v>
      </c>
      <c r="C46" s="29">
        <v>1.5</v>
      </c>
      <c r="D46" s="29">
        <v>618</v>
      </c>
      <c r="E46" s="69">
        <v>-0.51</v>
      </c>
      <c r="F46" s="35">
        <v>1.21</v>
      </c>
      <c r="G46" s="49">
        <f t="shared" si="6"/>
        <v>2.0099999999999998</v>
      </c>
      <c r="H46" s="50">
        <f t="shared" si="7"/>
        <v>0.29000000000000004</v>
      </c>
      <c r="I46" s="51"/>
      <c r="J46" s="52">
        <f t="shared" si="8"/>
        <v>51292.931087847057</v>
      </c>
      <c r="K46" s="53">
        <f t="shared" si="9"/>
        <v>7400.4726445152492</v>
      </c>
      <c r="M46" s="63">
        <f t="shared" si="10"/>
        <v>51.292931087847059</v>
      </c>
      <c r="N46" s="64">
        <f t="shared" si="11"/>
        <v>7.4004726445152489</v>
      </c>
    </row>
    <row r="47" spans="1:14" x14ac:dyDescent="0.25">
      <c r="A47" s="1"/>
      <c r="B47" s="29">
        <v>1021179</v>
      </c>
      <c r="C47" s="29">
        <v>1.5</v>
      </c>
      <c r="D47" s="29">
        <v>618</v>
      </c>
      <c r="E47" s="69">
        <v>-0.51</v>
      </c>
      <c r="F47" s="35">
        <v>1.21</v>
      </c>
      <c r="G47" s="49">
        <f t="shared" si="6"/>
        <v>2.0099999999999998</v>
      </c>
      <c r="H47" s="50">
        <f t="shared" si="7"/>
        <v>0.29000000000000004</v>
      </c>
      <c r="I47" s="51"/>
      <c r="J47" s="52">
        <f t="shared" si="8"/>
        <v>51292.931087847057</v>
      </c>
      <c r="K47" s="53">
        <f t="shared" si="9"/>
        <v>7400.4726445152492</v>
      </c>
      <c r="M47" s="63">
        <f t="shared" si="10"/>
        <v>51.292931087847059</v>
      </c>
      <c r="N47" s="64">
        <f t="shared" si="11"/>
        <v>7.4004726445152489</v>
      </c>
    </row>
    <row r="48" spans="1:14" x14ac:dyDescent="0.25">
      <c r="A48" s="1"/>
      <c r="B48" s="29">
        <v>1021177</v>
      </c>
      <c r="C48" s="29">
        <v>2</v>
      </c>
      <c r="D48" s="29">
        <v>336</v>
      </c>
      <c r="E48" s="69">
        <v>0.2</v>
      </c>
      <c r="F48" s="35">
        <v>1.8</v>
      </c>
      <c r="G48" s="49">
        <f t="shared" si="6"/>
        <v>1.8</v>
      </c>
      <c r="H48" s="50">
        <f t="shared" si="7"/>
        <v>0.19999999999999996</v>
      </c>
      <c r="I48" s="51"/>
      <c r="J48" s="52">
        <f t="shared" si="8"/>
        <v>59197.174328629946</v>
      </c>
      <c r="K48" s="53">
        <f t="shared" si="9"/>
        <v>6577.4638142922149</v>
      </c>
      <c r="M48" s="63">
        <f t="shared" si="10"/>
        <v>59.197174328629949</v>
      </c>
      <c r="N48" s="64">
        <f t="shared" si="11"/>
        <v>6.5774638142922148</v>
      </c>
    </row>
    <row r="49" spans="1:14" x14ac:dyDescent="0.25">
      <c r="A49" s="1"/>
      <c r="B49" s="29">
        <v>1020817</v>
      </c>
      <c r="C49" s="29">
        <v>1.4</v>
      </c>
      <c r="D49" s="29">
        <v>815</v>
      </c>
      <c r="E49" s="69">
        <v>-0.79</v>
      </c>
      <c r="F49" s="35">
        <v>1.21</v>
      </c>
      <c r="G49" s="49">
        <f t="shared" si="6"/>
        <v>2.19</v>
      </c>
      <c r="H49" s="50">
        <f t="shared" si="7"/>
        <v>0.18999999999999995</v>
      </c>
      <c r="I49" s="51"/>
      <c r="J49" s="52">
        <f t="shared" si="8"/>
        <v>59921.825849795154</v>
      </c>
      <c r="K49" s="53">
        <f t="shared" si="9"/>
        <v>5198.6972198452404</v>
      </c>
      <c r="M49" s="63">
        <f t="shared" si="10"/>
        <v>59.921825849795155</v>
      </c>
      <c r="N49" s="64">
        <f t="shared" si="11"/>
        <v>5.1986972198452408</v>
      </c>
    </row>
    <row r="50" spans="1:14" x14ac:dyDescent="0.25">
      <c r="A50" s="1"/>
      <c r="B50" s="29">
        <v>1020817</v>
      </c>
      <c r="C50" s="29">
        <v>1.4</v>
      </c>
      <c r="D50" s="29">
        <v>815</v>
      </c>
      <c r="E50" s="69">
        <v>-0.79</v>
      </c>
      <c r="F50" s="35">
        <v>1.21</v>
      </c>
      <c r="G50" s="49">
        <f t="shared" si="6"/>
        <v>2.19</v>
      </c>
      <c r="H50" s="50">
        <f t="shared" si="7"/>
        <v>0.18999999999999995</v>
      </c>
      <c r="I50" s="51"/>
      <c r="J50" s="52">
        <f t="shared" si="8"/>
        <v>59921.825849795154</v>
      </c>
      <c r="K50" s="53">
        <f t="shared" si="9"/>
        <v>5198.6972198452404</v>
      </c>
      <c r="M50" s="63">
        <f t="shared" si="10"/>
        <v>59.921825849795155</v>
      </c>
      <c r="N50" s="64">
        <f t="shared" si="11"/>
        <v>5.1986972198452408</v>
      </c>
    </row>
    <row r="51" spans="1:14" x14ac:dyDescent="0.25">
      <c r="A51" s="1"/>
      <c r="B51" s="29">
        <v>1020817</v>
      </c>
      <c r="C51" s="29">
        <v>1.4</v>
      </c>
      <c r="D51" s="29">
        <v>815</v>
      </c>
      <c r="E51" s="69">
        <v>-0.79</v>
      </c>
      <c r="F51" s="35">
        <v>1.21</v>
      </c>
      <c r="G51" s="49">
        <f t="shared" si="6"/>
        <v>2.19</v>
      </c>
      <c r="H51" s="50">
        <f t="shared" si="7"/>
        <v>0.18999999999999995</v>
      </c>
      <c r="I51" s="51"/>
      <c r="J51" s="52">
        <f t="shared" si="8"/>
        <v>59921.825849795154</v>
      </c>
      <c r="K51" s="53">
        <f t="shared" si="9"/>
        <v>5198.6972198452404</v>
      </c>
      <c r="M51" s="63">
        <f t="shared" si="10"/>
        <v>59.921825849795155</v>
      </c>
      <c r="N51" s="64">
        <f t="shared" si="11"/>
        <v>5.1986972198452408</v>
      </c>
    </row>
    <row r="52" spans="1:14" x14ac:dyDescent="0.25">
      <c r="A52" s="1"/>
      <c r="B52" s="29">
        <v>1020817</v>
      </c>
      <c r="C52" s="29">
        <v>1.4</v>
      </c>
      <c r="D52" s="29">
        <v>815</v>
      </c>
      <c r="E52" s="69">
        <v>-0.79</v>
      </c>
      <c r="F52" s="35">
        <v>1.21</v>
      </c>
      <c r="G52" s="49">
        <f t="shared" si="6"/>
        <v>2.19</v>
      </c>
      <c r="H52" s="50">
        <f t="shared" si="7"/>
        <v>0.18999999999999995</v>
      </c>
      <c r="I52" s="51"/>
      <c r="J52" s="52">
        <f t="shared" si="8"/>
        <v>59921.825849795154</v>
      </c>
      <c r="K52" s="53">
        <f t="shared" si="9"/>
        <v>5198.6972198452404</v>
      </c>
      <c r="M52" s="63">
        <f t="shared" si="10"/>
        <v>59.921825849795155</v>
      </c>
      <c r="N52" s="64">
        <f t="shared" si="11"/>
        <v>5.1986972198452408</v>
      </c>
    </row>
    <row r="53" spans="1:14" x14ac:dyDescent="0.25">
      <c r="A53" s="1"/>
      <c r="B53" s="29">
        <v>1020817</v>
      </c>
      <c r="C53" s="29">
        <v>1.4</v>
      </c>
      <c r="D53" s="29">
        <v>815</v>
      </c>
      <c r="E53" s="69">
        <v>-0.79</v>
      </c>
      <c r="F53" s="35">
        <v>1.21</v>
      </c>
      <c r="G53" s="49">
        <f t="shared" si="6"/>
        <v>2.19</v>
      </c>
      <c r="H53" s="50">
        <f t="shared" si="7"/>
        <v>0.18999999999999995</v>
      </c>
      <c r="I53" s="51"/>
      <c r="J53" s="52">
        <f t="shared" si="8"/>
        <v>59921.825849795154</v>
      </c>
      <c r="K53" s="53">
        <f t="shared" si="9"/>
        <v>5198.6972198452404</v>
      </c>
      <c r="M53" s="63">
        <f t="shared" si="10"/>
        <v>59.921825849795155</v>
      </c>
      <c r="N53" s="64">
        <f t="shared" si="11"/>
        <v>5.1986972198452408</v>
      </c>
    </row>
    <row r="54" spans="1:14" x14ac:dyDescent="0.25">
      <c r="A54" s="1"/>
      <c r="B54" s="29">
        <v>1020817</v>
      </c>
      <c r="C54" s="29">
        <v>1.4</v>
      </c>
      <c r="D54" s="29">
        <v>815</v>
      </c>
      <c r="E54" s="69">
        <v>-0.79</v>
      </c>
      <c r="F54" s="35">
        <v>1.21</v>
      </c>
      <c r="G54" s="49">
        <f t="shared" si="6"/>
        <v>2.19</v>
      </c>
      <c r="H54" s="50">
        <f t="shared" si="7"/>
        <v>0.18999999999999995</v>
      </c>
      <c r="I54" s="51"/>
      <c r="J54" s="52">
        <f t="shared" si="8"/>
        <v>59921.825849795154</v>
      </c>
      <c r="K54" s="53">
        <f t="shared" si="9"/>
        <v>5198.6972198452404</v>
      </c>
      <c r="M54" s="63">
        <f t="shared" si="10"/>
        <v>59.921825849795155</v>
      </c>
      <c r="N54" s="64">
        <f t="shared" si="11"/>
        <v>5.1986972198452408</v>
      </c>
    </row>
    <row r="55" spans="1:14" x14ac:dyDescent="0.25">
      <c r="A55" s="1"/>
      <c r="B55" s="29">
        <v>1020817</v>
      </c>
      <c r="C55" s="29">
        <v>1.4</v>
      </c>
      <c r="D55" s="29">
        <v>815</v>
      </c>
      <c r="E55" s="69">
        <v>-0.79</v>
      </c>
      <c r="F55" s="35">
        <v>1.21</v>
      </c>
      <c r="G55" s="49">
        <f t="shared" si="6"/>
        <v>2.19</v>
      </c>
      <c r="H55" s="50">
        <f t="shared" si="7"/>
        <v>0.18999999999999995</v>
      </c>
      <c r="I55" s="51"/>
      <c r="J55" s="52">
        <f t="shared" si="8"/>
        <v>59921.825849795154</v>
      </c>
      <c r="K55" s="53">
        <f t="shared" si="9"/>
        <v>5198.6972198452404</v>
      </c>
      <c r="M55" s="63">
        <f t="shared" si="10"/>
        <v>59.921825849795155</v>
      </c>
      <c r="N55" s="64">
        <f t="shared" si="11"/>
        <v>5.1986972198452408</v>
      </c>
    </row>
    <row r="56" spans="1:14" x14ac:dyDescent="0.25">
      <c r="A56" s="1"/>
      <c r="B56" s="29">
        <v>1020817</v>
      </c>
      <c r="C56" s="29">
        <v>1.4</v>
      </c>
      <c r="D56" s="29">
        <v>815</v>
      </c>
      <c r="E56" s="69">
        <v>-0.79</v>
      </c>
      <c r="F56" s="35">
        <v>1.21</v>
      </c>
      <c r="G56" s="49">
        <f t="shared" si="6"/>
        <v>2.19</v>
      </c>
      <c r="H56" s="50">
        <f t="shared" si="7"/>
        <v>0.18999999999999995</v>
      </c>
      <c r="I56" s="51"/>
      <c r="J56" s="52">
        <f t="shared" si="8"/>
        <v>59921.825849795154</v>
      </c>
      <c r="K56" s="53">
        <f t="shared" si="9"/>
        <v>5198.6972198452404</v>
      </c>
      <c r="M56" s="63">
        <f t="shared" si="10"/>
        <v>59.921825849795155</v>
      </c>
      <c r="N56" s="64">
        <f t="shared" si="11"/>
        <v>5.1986972198452408</v>
      </c>
    </row>
    <row r="57" spans="1:14" x14ac:dyDescent="0.25">
      <c r="A57" s="1"/>
      <c r="B57" s="29">
        <v>1020817</v>
      </c>
      <c r="C57" s="29">
        <v>1.4</v>
      </c>
      <c r="D57" s="29">
        <v>815</v>
      </c>
      <c r="E57" s="69">
        <v>-0.79</v>
      </c>
      <c r="F57" s="35">
        <v>1.21</v>
      </c>
      <c r="G57" s="49">
        <f t="shared" si="6"/>
        <v>2.19</v>
      </c>
      <c r="H57" s="50">
        <f t="shared" si="7"/>
        <v>0.18999999999999995</v>
      </c>
      <c r="I57" s="51"/>
      <c r="J57" s="52">
        <f t="shared" si="8"/>
        <v>59921.825849795154</v>
      </c>
      <c r="K57" s="53">
        <f t="shared" si="9"/>
        <v>5198.6972198452404</v>
      </c>
      <c r="M57" s="63">
        <f t="shared" si="10"/>
        <v>59.921825849795155</v>
      </c>
      <c r="N57" s="64">
        <f t="shared" si="11"/>
        <v>5.1986972198452408</v>
      </c>
    </row>
    <row r="58" spans="1:14" x14ac:dyDescent="0.25">
      <c r="A58" s="1"/>
      <c r="B58" s="29">
        <v>1020817</v>
      </c>
      <c r="C58" s="29">
        <v>1.4</v>
      </c>
      <c r="D58" s="29">
        <v>815</v>
      </c>
      <c r="E58" s="69">
        <v>-0.79</v>
      </c>
      <c r="F58" s="35">
        <v>1.21</v>
      </c>
      <c r="G58" s="49">
        <f t="shared" si="6"/>
        <v>2.19</v>
      </c>
      <c r="H58" s="50">
        <f t="shared" si="7"/>
        <v>0.18999999999999995</v>
      </c>
      <c r="I58" s="51"/>
      <c r="J58" s="52">
        <f t="shared" si="8"/>
        <v>59921.825849795154</v>
      </c>
      <c r="K58" s="53">
        <f t="shared" si="9"/>
        <v>5198.6972198452404</v>
      </c>
      <c r="M58" s="63">
        <f t="shared" si="10"/>
        <v>59.921825849795155</v>
      </c>
      <c r="N58" s="64">
        <f t="shared" si="11"/>
        <v>5.1986972198452408</v>
      </c>
    </row>
    <row r="59" spans="1:14" x14ac:dyDescent="0.25">
      <c r="A59" s="1"/>
      <c r="B59" s="29">
        <v>1020817</v>
      </c>
      <c r="C59" s="29">
        <v>1.4</v>
      </c>
      <c r="D59" s="29">
        <v>815</v>
      </c>
      <c r="E59" s="69">
        <v>-0.79</v>
      </c>
      <c r="F59" s="35">
        <v>1.21</v>
      </c>
      <c r="G59" s="49">
        <f t="shared" si="6"/>
        <v>2.19</v>
      </c>
      <c r="H59" s="50">
        <f t="shared" si="7"/>
        <v>0.18999999999999995</v>
      </c>
      <c r="I59" s="51"/>
      <c r="J59" s="52">
        <f t="shared" si="8"/>
        <v>59921.825849795154</v>
      </c>
      <c r="K59" s="53">
        <f t="shared" si="9"/>
        <v>5198.6972198452404</v>
      </c>
      <c r="M59" s="63">
        <f t="shared" si="10"/>
        <v>59.921825849795155</v>
      </c>
      <c r="N59" s="64">
        <f t="shared" si="11"/>
        <v>5.1986972198452408</v>
      </c>
    </row>
    <row r="60" spans="1:14" x14ac:dyDescent="0.25">
      <c r="A60" s="1"/>
      <c r="B60" s="29">
        <v>1020817</v>
      </c>
      <c r="C60" s="29">
        <v>1.4</v>
      </c>
      <c r="D60" s="29">
        <v>815</v>
      </c>
      <c r="E60" s="69">
        <v>-0.79</v>
      </c>
      <c r="F60" s="35">
        <v>1.21</v>
      </c>
      <c r="G60" s="49">
        <f t="shared" si="6"/>
        <v>2.19</v>
      </c>
      <c r="H60" s="50">
        <f t="shared" si="7"/>
        <v>0.18999999999999995</v>
      </c>
      <c r="I60" s="51"/>
      <c r="J60" s="52">
        <f t="shared" si="8"/>
        <v>59921.825849795154</v>
      </c>
      <c r="K60" s="53">
        <f t="shared" si="9"/>
        <v>5198.6972198452404</v>
      </c>
      <c r="M60" s="63">
        <f t="shared" si="10"/>
        <v>59.921825849795155</v>
      </c>
      <c r="N60" s="64">
        <f t="shared" si="11"/>
        <v>5.1986972198452408</v>
      </c>
    </row>
    <row r="61" spans="1:14" x14ac:dyDescent="0.25">
      <c r="A61" s="1"/>
      <c r="B61" s="29">
        <v>1020817</v>
      </c>
      <c r="C61" s="29">
        <v>1.4</v>
      </c>
      <c r="D61" s="29">
        <v>815</v>
      </c>
      <c r="E61" s="69">
        <v>-0.79</v>
      </c>
      <c r="F61" s="35">
        <v>1.21</v>
      </c>
      <c r="G61" s="49">
        <f t="shared" si="6"/>
        <v>2.19</v>
      </c>
      <c r="H61" s="50">
        <f t="shared" si="7"/>
        <v>0.18999999999999995</v>
      </c>
      <c r="I61" s="51"/>
      <c r="J61" s="52">
        <f t="shared" si="8"/>
        <v>59921.825849795154</v>
      </c>
      <c r="K61" s="53">
        <f t="shared" si="9"/>
        <v>5198.6972198452404</v>
      </c>
      <c r="M61" s="63">
        <f t="shared" si="10"/>
        <v>59.921825849795155</v>
      </c>
      <c r="N61" s="64">
        <f t="shared" si="11"/>
        <v>5.1986972198452408</v>
      </c>
    </row>
    <row r="62" spans="1:14" x14ac:dyDescent="0.25">
      <c r="A62" s="1"/>
      <c r="B62" s="29">
        <v>1020817</v>
      </c>
      <c r="C62" s="29">
        <v>1.4</v>
      </c>
      <c r="D62" s="29">
        <v>815</v>
      </c>
      <c r="E62" s="69">
        <v>-0.79</v>
      </c>
      <c r="F62" s="35">
        <v>1.21</v>
      </c>
      <c r="G62" s="49">
        <f t="shared" si="6"/>
        <v>2.19</v>
      </c>
      <c r="H62" s="50">
        <f t="shared" si="7"/>
        <v>0.18999999999999995</v>
      </c>
      <c r="I62" s="51"/>
      <c r="J62" s="52">
        <f t="shared" si="8"/>
        <v>59921.825849795154</v>
      </c>
      <c r="K62" s="53">
        <f t="shared" si="9"/>
        <v>5198.6972198452404</v>
      </c>
      <c r="M62" s="63">
        <f t="shared" si="10"/>
        <v>59.921825849795155</v>
      </c>
      <c r="N62" s="64">
        <f t="shared" si="11"/>
        <v>5.1986972198452408</v>
      </c>
    </row>
    <row r="63" spans="1:14" x14ac:dyDescent="0.25">
      <c r="A63" s="1"/>
      <c r="B63" s="29">
        <v>1020817</v>
      </c>
      <c r="C63" s="29">
        <v>1.4</v>
      </c>
      <c r="D63" s="29">
        <v>815</v>
      </c>
      <c r="E63" s="69">
        <v>-0.79</v>
      </c>
      <c r="F63" s="35">
        <v>1.21</v>
      </c>
      <c r="G63" s="49">
        <f t="shared" si="6"/>
        <v>2.19</v>
      </c>
      <c r="H63" s="50">
        <f t="shared" si="7"/>
        <v>0.18999999999999995</v>
      </c>
      <c r="I63" s="51"/>
      <c r="J63" s="52">
        <f t="shared" si="8"/>
        <v>59921.825849795154</v>
      </c>
      <c r="K63" s="53">
        <f t="shared" si="9"/>
        <v>5198.6972198452404</v>
      </c>
      <c r="M63" s="63">
        <f t="shared" si="10"/>
        <v>59.921825849795155</v>
      </c>
      <c r="N63" s="64">
        <f t="shared" si="11"/>
        <v>5.1986972198452408</v>
      </c>
    </row>
    <row r="64" spans="1:14" x14ac:dyDescent="0.25">
      <c r="A64" s="1"/>
      <c r="B64" s="29">
        <v>1020817</v>
      </c>
      <c r="C64" s="29">
        <v>1.4</v>
      </c>
      <c r="D64" s="29">
        <v>815</v>
      </c>
      <c r="E64" s="69">
        <v>-0.79</v>
      </c>
      <c r="F64" s="35">
        <v>1.21</v>
      </c>
      <c r="G64" s="49">
        <f t="shared" si="6"/>
        <v>2.19</v>
      </c>
      <c r="H64" s="50">
        <f t="shared" si="7"/>
        <v>0.18999999999999995</v>
      </c>
      <c r="I64" s="51"/>
      <c r="J64" s="52">
        <f t="shared" si="8"/>
        <v>59921.825849795154</v>
      </c>
      <c r="K64" s="53">
        <f t="shared" si="9"/>
        <v>5198.6972198452404</v>
      </c>
      <c r="M64" s="63">
        <f t="shared" si="10"/>
        <v>59.921825849795155</v>
      </c>
      <c r="N64" s="64">
        <f t="shared" si="11"/>
        <v>5.1986972198452408</v>
      </c>
    </row>
    <row r="65" spans="1:14" x14ac:dyDescent="0.25">
      <c r="A65" s="1"/>
      <c r="B65" s="29">
        <v>1020817</v>
      </c>
      <c r="C65" s="29">
        <v>1.4</v>
      </c>
      <c r="D65" s="29">
        <v>815</v>
      </c>
      <c r="E65" s="69">
        <v>-0.8</v>
      </c>
      <c r="F65" s="35">
        <v>1.21</v>
      </c>
      <c r="G65" s="49">
        <f t="shared" si="6"/>
        <v>2.2000000000000002</v>
      </c>
      <c r="H65" s="50">
        <f t="shared" si="7"/>
        <v>0.18999999999999995</v>
      </c>
      <c r="I65" s="51"/>
      <c r="J65" s="52">
        <f t="shared" si="8"/>
        <v>60195.441492944905</v>
      </c>
      <c r="K65" s="53">
        <f t="shared" si="9"/>
        <v>5198.6972198452404</v>
      </c>
      <c r="M65" s="63">
        <f t="shared" si="10"/>
        <v>60.195441492944902</v>
      </c>
      <c r="N65" s="64">
        <f t="shared" si="11"/>
        <v>5.1986972198452408</v>
      </c>
    </row>
    <row r="66" spans="1:14" x14ac:dyDescent="0.25">
      <c r="A66" s="1"/>
      <c r="B66" s="29">
        <v>1020817</v>
      </c>
      <c r="C66" s="29">
        <v>1.4</v>
      </c>
      <c r="D66" s="29">
        <v>815</v>
      </c>
      <c r="E66" s="69">
        <v>-0.8</v>
      </c>
      <c r="F66" s="35">
        <v>1.2</v>
      </c>
      <c r="G66" s="49">
        <f t="shared" si="6"/>
        <v>2.2000000000000002</v>
      </c>
      <c r="H66" s="50">
        <f t="shared" si="7"/>
        <v>0.19999999999999996</v>
      </c>
      <c r="I66" s="51"/>
      <c r="J66" s="52">
        <f t="shared" si="8"/>
        <v>60195.441492944905</v>
      </c>
      <c r="K66" s="53">
        <f t="shared" si="9"/>
        <v>5472.3128629949897</v>
      </c>
      <c r="M66" s="63">
        <f t="shared" si="10"/>
        <v>60.195441492944902</v>
      </c>
      <c r="N66" s="64">
        <f t="shared" si="11"/>
        <v>5.4723128629949898</v>
      </c>
    </row>
    <row r="67" spans="1:14" x14ac:dyDescent="0.25">
      <c r="A67" s="1"/>
      <c r="B67" s="29">
        <v>1020817</v>
      </c>
      <c r="C67" s="29">
        <v>1.4</v>
      </c>
      <c r="D67" s="29">
        <v>815</v>
      </c>
      <c r="E67" s="69">
        <v>-0.8</v>
      </c>
      <c r="F67" s="35">
        <v>1.2</v>
      </c>
      <c r="G67" s="49">
        <f t="shared" si="6"/>
        <v>2.2000000000000002</v>
      </c>
      <c r="H67" s="50">
        <f t="shared" si="7"/>
        <v>0.19999999999999996</v>
      </c>
      <c r="I67" s="51"/>
      <c r="J67" s="52">
        <f t="shared" si="8"/>
        <v>60195.441492944905</v>
      </c>
      <c r="K67" s="53">
        <f t="shared" si="9"/>
        <v>5472.3128629949897</v>
      </c>
      <c r="M67" s="63">
        <f t="shared" si="10"/>
        <v>60.195441492944902</v>
      </c>
      <c r="N67" s="64">
        <f t="shared" si="11"/>
        <v>5.4723128629949898</v>
      </c>
    </row>
    <row r="68" spans="1:14" x14ac:dyDescent="0.25">
      <c r="A68" s="1"/>
      <c r="B68" s="29">
        <v>1020817</v>
      </c>
      <c r="C68" s="29">
        <v>1.4</v>
      </c>
      <c r="D68" s="29">
        <v>815</v>
      </c>
      <c r="E68" s="69">
        <v>-0.8</v>
      </c>
      <c r="F68" s="35">
        <v>1.2</v>
      </c>
      <c r="G68" s="49">
        <f t="shared" ref="G68:G99" si="12">ABS(E68-C68)</f>
        <v>2.2000000000000002</v>
      </c>
      <c r="H68" s="50">
        <f t="shared" ref="H68:H99" si="13">ABS(F68-C68)</f>
        <v>0.19999999999999996</v>
      </c>
      <c r="I68" s="51"/>
      <c r="J68" s="52">
        <f t="shared" ref="J68:J99" si="14">(((2*(D68/1000)*((C68/1000)^3)*210000000000/(0.0325^3))))*(G68/1000)</f>
        <v>60195.441492944905</v>
      </c>
      <c r="K68" s="53">
        <f t="shared" ref="K68:K99" si="15">(((2*(D68/1000)*((C68/1000)^3)*210000000000/(0.0325^3))))*(H68/1000)</f>
        <v>5472.3128629949897</v>
      </c>
      <c r="M68" s="63">
        <f t="shared" ref="M68:M99" si="16">J68/1000</f>
        <v>60.195441492944902</v>
      </c>
      <c r="N68" s="64">
        <f t="shared" ref="N68:N99" si="17">K68/1000</f>
        <v>5.4723128629949898</v>
      </c>
    </row>
    <row r="69" spans="1:14" x14ac:dyDescent="0.25">
      <c r="A69" s="1"/>
      <c r="B69" s="29">
        <v>1020817</v>
      </c>
      <c r="C69" s="29">
        <v>1.4</v>
      </c>
      <c r="D69" s="29">
        <v>815</v>
      </c>
      <c r="E69" s="69">
        <v>-0.8</v>
      </c>
      <c r="F69" s="35">
        <v>1.2</v>
      </c>
      <c r="G69" s="49">
        <f t="shared" si="12"/>
        <v>2.2000000000000002</v>
      </c>
      <c r="H69" s="50">
        <f t="shared" si="13"/>
        <v>0.19999999999999996</v>
      </c>
      <c r="I69" s="51"/>
      <c r="J69" s="52">
        <f t="shared" si="14"/>
        <v>60195.441492944905</v>
      </c>
      <c r="K69" s="53">
        <f t="shared" si="15"/>
        <v>5472.3128629949897</v>
      </c>
      <c r="M69" s="63">
        <f t="shared" si="16"/>
        <v>60.195441492944902</v>
      </c>
      <c r="N69" s="64">
        <f t="shared" si="17"/>
        <v>5.4723128629949898</v>
      </c>
    </row>
    <row r="70" spans="1:14" x14ac:dyDescent="0.25">
      <c r="A70" s="1"/>
      <c r="B70" s="29">
        <v>1020817</v>
      </c>
      <c r="C70" s="29">
        <v>1.4</v>
      </c>
      <c r="D70" s="29">
        <v>815</v>
      </c>
      <c r="E70" s="69">
        <v>-0.8</v>
      </c>
      <c r="F70" s="35">
        <v>1.2</v>
      </c>
      <c r="G70" s="49">
        <f t="shared" si="12"/>
        <v>2.2000000000000002</v>
      </c>
      <c r="H70" s="50">
        <f t="shared" si="13"/>
        <v>0.19999999999999996</v>
      </c>
      <c r="I70" s="51"/>
      <c r="J70" s="52">
        <f t="shared" si="14"/>
        <v>60195.441492944905</v>
      </c>
      <c r="K70" s="53">
        <f t="shared" si="15"/>
        <v>5472.3128629949897</v>
      </c>
      <c r="M70" s="63">
        <f t="shared" si="16"/>
        <v>60.195441492944902</v>
      </c>
      <c r="N70" s="64">
        <f t="shared" si="17"/>
        <v>5.4723128629949898</v>
      </c>
    </row>
    <row r="71" spans="1:14" x14ac:dyDescent="0.25">
      <c r="A71" s="1"/>
      <c r="B71" s="29">
        <v>1020817</v>
      </c>
      <c r="C71" s="29">
        <v>1.4</v>
      </c>
      <c r="D71" s="29">
        <v>815</v>
      </c>
      <c r="E71" s="69">
        <v>-0.8</v>
      </c>
      <c r="F71" s="35">
        <v>1.2</v>
      </c>
      <c r="G71" s="49">
        <f t="shared" si="12"/>
        <v>2.2000000000000002</v>
      </c>
      <c r="H71" s="50">
        <f t="shared" si="13"/>
        <v>0.19999999999999996</v>
      </c>
      <c r="I71" s="51"/>
      <c r="J71" s="52">
        <f t="shared" si="14"/>
        <v>60195.441492944905</v>
      </c>
      <c r="K71" s="53">
        <f t="shared" si="15"/>
        <v>5472.3128629949897</v>
      </c>
      <c r="M71" s="63">
        <f t="shared" si="16"/>
        <v>60.195441492944902</v>
      </c>
      <c r="N71" s="64">
        <f t="shared" si="17"/>
        <v>5.4723128629949898</v>
      </c>
    </row>
    <row r="72" spans="1:14" x14ac:dyDescent="0.25">
      <c r="A72" s="1"/>
      <c r="B72" s="7">
        <v>1020817</v>
      </c>
      <c r="C72" s="7">
        <v>1.4</v>
      </c>
      <c r="D72" s="7">
        <v>815</v>
      </c>
      <c r="E72" s="70">
        <v>-0.8</v>
      </c>
      <c r="F72" s="55">
        <v>1.2</v>
      </c>
      <c r="G72" s="49">
        <f t="shared" si="12"/>
        <v>2.2000000000000002</v>
      </c>
      <c r="H72" s="50">
        <f t="shared" si="13"/>
        <v>0.19999999999999996</v>
      </c>
      <c r="I72" s="51"/>
      <c r="J72" s="52">
        <f t="shared" si="14"/>
        <v>60195.441492944905</v>
      </c>
      <c r="K72" s="53">
        <f t="shared" si="15"/>
        <v>5472.3128629949897</v>
      </c>
      <c r="M72" s="63">
        <f t="shared" si="16"/>
        <v>60.195441492944902</v>
      </c>
      <c r="N72" s="64">
        <f t="shared" si="17"/>
        <v>5.4723128629949898</v>
      </c>
    </row>
    <row r="73" spans="1:14" x14ac:dyDescent="0.25">
      <c r="A73" s="1"/>
      <c r="B73" s="7">
        <v>1020817</v>
      </c>
      <c r="C73" s="7">
        <v>1.4</v>
      </c>
      <c r="D73" s="7">
        <v>815</v>
      </c>
      <c r="E73" s="70">
        <v>-0.8</v>
      </c>
      <c r="F73" s="55">
        <v>1.2</v>
      </c>
      <c r="G73" s="49">
        <f t="shared" si="12"/>
        <v>2.2000000000000002</v>
      </c>
      <c r="H73" s="50">
        <f t="shared" si="13"/>
        <v>0.19999999999999996</v>
      </c>
      <c r="I73" s="51"/>
      <c r="J73" s="52">
        <f t="shared" si="14"/>
        <v>60195.441492944905</v>
      </c>
      <c r="K73" s="53">
        <f t="shared" si="15"/>
        <v>5472.3128629949897</v>
      </c>
      <c r="M73" s="63">
        <f t="shared" si="16"/>
        <v>60.195441492944902</v>
      </c>
      <c r="N73" s="64">
        <f t="shared" si="17"/>
        <v>5.4723128629949898</v>
      </c>
    </row>
    <row r="74" spans="1:14" x14ac:dyDescent="0.25">
      <c r="A74" s="1"/>
      <c r="B74" s="7">
        <v>1020817</v>
      </c>
      <c r="C74" s="7">
        <v>1.4</v>
      </c>
      <c r="D74" s="7">
        <v>815</v>
      </c>
      <c r="E74" s="70">
        <v>-0.8</v>
      </c>
      <c r="F74" s="55">
        <v>1.2</v>
      </c>
      <c r="G74" s="49">
        <f t="shared" si="12"/>
        <v>2.2000000000000002</v>
      </c>
      <c r="H74" s="50">
        <f t="shared" si="13"/>
        <v>0.19999999999999996</v>
      </c>
      <c r="I74" s="51"/>
      <c r="J74" s="52">
        <f t="shared" si="14"/>
        <v>60195.441492944905</v>
      </c>
      <c r="K74" s="53">
        <f t="shared" si="15"/>
        <v>5472.3128629949897</v>
      </c>
      <c r="M74" s="63">
        <f t="shared" si="16"/>
        <v>60.195441492944902</v>
      </c>
      <c r="N74" s="64">
        <f t="shared" si="17"/>
        <v>5.4723128629949898</v>
      </c>
    </row>
    <row r="75" spans="1:14" x14ac:dyDescent="0.25">
      <c r="A75" s="1"/>
      <c r="B75" s="7">
        <v>1020817</v>
      </c>
      <c r="C75" s="7">
        <v>1.4</v>
      </c>
      <c r="D75" s="7">
        <v>815</v>
      </c>
      <c r="E75" s="70">
        <v>-0.8</v>
      </c>
      <c r="F75" s="55">
        <v>1.2</v>
      </c>
      <c r="G75" s="49">
        <f t="shared" si="12"/>
        <v>2.2000000000000002</v>
      </c>
      <c r="H75" s="50">
        <f t="shared" si="13"/>
        <v>0.19999999999999996</v>
      </c>
      <c r="I75" s="51"/>
      <c r="J75" s="52">
        <f t="shared" si="14"/>
        <v>60195.441492944905</v>
      </c>
      <c r="K75" s="53">
        <f t="shared" si="15"/>
        <v>5472.3128629949897</v>
      </c>
      <c r="M75" s="63">
        <f t="shared" si="16"/>
        <v>60.195441492944902</v>
      </c>
      <c r="N75" s="64">
        <f t="shared" si="17"/>
        <v>5.4723128629949898</v>
      </c>
    </row>
    <row r="76" spans="1:14" x14ac:dyDescent="0.25">
      <c r="A76" s="1"/>
      <c r="B76" s="7">
        <v>1020817</v>
      </c>
      <c r="C76" s="7">
        <v>1.4</v>
      </c>
      <c r="D76" s="7">
        <v>815</v>
      </c>
      <c r="E76" s="70">
        <v>-0.8</v>
      </c>
      <c r="F76" s="55">
        <v>1.2</v>
      </c>
      <c r="G76" s="49">
        <f t="shared" si="12"/>
        <v>2.2000000000000002</v>
      </c>
      <c r="H76" s="50">
        <f t="shared" si="13"/>
        <v>0.19999999999999996</v>
      </c>
      <c r="I76" s="51"/>
      <c r="J76" s="52">
        <f t="shared" si="14"/>
        <v>60195.441492944905</v>
      </c>
      <c r="K76" s="53">
        <f t="shared" si="15"/>
        <v>5472.3128629949897</v>
      </c>
      <c r="M76" s="63">
        <f t="shared" si="16"/>
        <v>60.195441492944902</v>
      </c>
      <c r="N76" s="64">
        <f t="shared" si="17"/>
        <v>5.4723128629949898</v>
      </c>
    </row>
    <row r="77" spans="1:14" x14ac:dyDescent="0.25">
      <c r="A77" s="1"/>
      <c r="B77" s="7">
        <v>1020817</v>
      </c>
      <c r="C77" s="7">
        <v>1.4</v>
      </c>
      <c r="D77" s="7">
        <v>815</v>
      </c>
      <c r="E77" s="70">
        <v>-0.8</v>
      </c>
      <c r="F77" s="55">
        <v>1.2</v>
      </c>
      <c r="G77" s="49">
        <f t="shared" si="12"/>
        <v>2.2000000000000002</v>
      </c>
      <c r="H77" s="50">
        <f t="shared" si="13"/>
        <v>0.19999999999999996</v>
      </c>
      <c r="I77" s="51"/>
      <c r="J77" s="52">
        <f t="shared" si="14"/>
        <v>60195.441492944905</v>
      </c>
      <c r="K77" s="53">
        <f t="shared" si="15"/>
        <v>5472.3128629949897</v>
      </c>
      <c r="M77" s="63">
        <f t="shared" si="16"/>
        <v>60.195441492944902</v>
      </c>
      <c r="N77" s="64">
        <f t="shared" si="17"/>
        <v>5.4723128629949898</v>
      </c>
    </row>
    <row r="78" spans="1:14" x14ac:dyDescent="0.25">
      <c r="A78" s="1"/>
      <c r="B78" s="7">
        <v>1020817</v>
      </c>
      <c r="C78" s="7">
        <v>1.4</v>
      </c>
      <c r="D78" s="7">
        <v>815</v>
      </c>
      <c r="E78" s="70">
        <v>-0.8</v>
      </c>
      <c r="F78" s="55">
        <v>1.2</v>
      </c>
      <c r="G78" s="49">
        <f t="shared" si="12"/>
        <v>2.2000000000000002</v>
      </c>
      <c r="H78" s="50">
        <f t="shared" si="13"/>
        <v>0.19999999999999996</v>
      </c>
      <c r="I78" s="51"/>
      <c r="J78" s="52">
        <f t="shared" si="14"/>
        <v>60195.441492944905</v>
      </c>
      <c r="K78" s="53">
        <f t="shared" si="15"/>
        <v>5472.3128629949897</v>
      </c>
      <c r="M78" s="63">
        <f t="shared" si="16"/>
        <v>60.195441492944902</v>
      </c>
      <c r="N78" s="64">
        <f t="shared" si="17"/>
        <v>5.4723128629949898</v>
      </c>
    </row>
    <row r="79" spans="1:14" x14ac:dyDescent="0.25">
      <c r="A79" s="1"/>
      <c r="B79" s="29">
        <v>1020741</v>
      </c>
      <c r="C79" s="29">
        <v>3</v>
      </c>
      <c r="D79" s="29">
        <v>190</v>
      </c>
      <c r="E79" s="69">
        <v>2</v>
      </c>
      <c r="F79" s="35">
        <v>3</v>
      </c>
      <c r="G79" s="49">
        <f t="shared" si="12"/>
        <v>1</v>
      </c>
      <c r="H79" s="50">
        <f t="shared" si="13"/>
        <v>0</v>
      </c>
      <c r="I79" s="51"/>
      <c r="J79" s="52">
        <f t="shared" si="14"/>
        <v>62764.861174328624</v>
      </c>
      <c r="K79" s="53">
        <f t="shared" si="15"/>
        <v>0</v>
      </c>
      <c r="M79" s="63">
        <f t="shared" si="16"/>
        <v>62.764861174328622</v>
      </c>
      <c r="N79" s="64">
        <f t="shared" si="17"/>
        <v>0</v>
      </c>
    </row>
    <row r="80" spans="1:14" x14ac:dyDescent="0.25">
      <c r="A80" s="1"/>
      <c r="B80" s="29">
        <v>1020741</v>
      </c>
      <c r="C80" s="29">
        <v>3</v>
      </c>
      <c r="D80" s="29">
        <v>190</v>
      </c>
      <c r="E80" s="69">
        <v>2</v>
      </c>
      <c r="F80" s="35">
        <v>3</v>
      </c>
      <c r="G80" s="49">
        <f t="shared" si="12"/>
        <v>1</v>
      </c>
      <c r="H80" s="50">
        <f t="shared" si="13"/>
        <v>0</v>
      </c>
      <c r="I80" s="51"/>
      <c r="J80" s="52">
        <f t="shared" si="14"/>
        <v>62764.861174328624</v>
      </c>
      <c r="K80" s="53">
        <f t="shared" si="15"/>
        <v>0</v>
      </c>
      <c r="M80" s="63">
        <f t="shared" si="16"/>
        <v>62.764861174328622</v>
      </c>
      <c r="N80" s="64">
        <f t="shared" si="17"/>
        <v>0</v>
      </c>
    </row>
    <row r="81" spans="1:14" x14ac:dyDescent="0.25">
      <c r="A81" s="1"/>
      <c r="B81" s="29">
        <v>1020741</v>
      </c>
      <c r="C81" s="29">
        <v>3</v>
      </c>
      <c r="D81" s="29">
        <v>190</v>
      </c>
      <c r="E81" s="69">
        <v>2</v>
      </c>
      <c r="F81" s="35">
        <v>3</v>
      </c>
      <c r="G81" s="49">
        <f t="shared" si="12"/>
        <v>1</v>
      </c>
      <c r="H81" s="50">
        <f t="shared" si="13"/>
        <v>0</v>
      </c>
      <c r="I81" s="51"/>
      <c r="J81" s="52">
        <f t="shared" si="14"/>
        <v>62764.861174328624</v>
      </c>
      <c r="K81" s="53">
        <f t="shared" si="15"/>
        <v>0</v>
      </c>
      <c r="M81" s="63">
        <f t="shared" si="16"/>
        <v>62.764861174328622</v>
      </c>
      <c r="N81" s="64">
        <f t="shared" si="17"/>
        <v>0</v>
      </c>
    </row>
    <row r="82" spans="1:14" x14ac:dyDescent="0.25">
      <c r="A82" s="1"/>
      <c r="B82" s="29">
        <v>1020741</v>
      </c>
      <c r="C82" s="29">
        <v>3</v>
      </c>
      <c r="D82" s="29">
        <v>190</v>
      </c>
      <c r="E82" s="69">
        <v>2</v>
      </c>
      <c r="F82" s="35">
        <v>3</v>
      </c>
      <c r="G82" s="49">
        <f t="shared" si="12"/>
        <v>1</v>
      </c>
      <c r="H82" s="50">
        <f t="shared" si="13"/>
        <v>0</v>
      </c>
      <c r="I82" s="51"/>
      <c r="J82" s="52">
        <f t="shared" si="14"/>
        <v>62764.861174328624</v>
      </c>
      <c r="K82" s="53">
        <f t="shared" si="15"/>
        <v>0</v>
      </c>
      <c r="M82" s="63">
        <f t="shared" si="16"/>
        <v>62.764861174328622</v>
      </c>
      <c r="N82" s="64">
        <f t="shared" si="17"/>
        <v>0</v>
      </c>
    </row>
    <row r="83" spans="1:14" x14ac:dyDescent="0.25">
      <c r="A83" s="1"/>
      <c r="B83" s="29">
        <v>1020741</v>
      </c>
      <c r="C83" s="29">
        <v>3</v>
      </c>
      <c r="D83" s="29">
        <v>190</v>
      </c>
      <c r="E83" s="69">
        <v>2</v>
      </c>
      <c r="F83" s="35">
        <v>3</v>
      </c>
      <c r="G83" s="49">
        <f t="shared" si="12"/>
        <v>1</v>
      </c>
      <c r="H83" s="50">
        <f t="shared" si="13"/>
        <v>0</v>
      </c>
      <c r="I83" s="51"/>
      <c r="J83" s="52">
        <f t="shared" si="14"/>
        <v>62764.861174328624</v>
      </c>
      <c r="K83" s="53">
        <f t="shared" si="15"/>
        <v>0</v>
      </c>
      <c r="M83" s="63">
        <f t="shared" si="16"/>
        <v>62.764861174328622</v>
      </c>
      <c r="N83" s="64">
        <f t="shared" si="17"/>
        <v>0</v>
      </c>
    </row>
    <row r="84" spans="1:14" x14ac:dyDescent="0.25">
      <c r="A84" s="1"/>
      <c r="B84" s="29">
        <v>1020716</v>
      </c>
      <c r="C84" s="29">
        <v>2</v>
      </c>
      <c r="D84" s="29">
        <v>460</v>
      </c>
      <c r="E84" s="69">
        <v>0.27</v>
      </c>
      <c r="F84" s="35">
        <v>1.96</v>
      </c>
      <c r="G84" s="49">
        <f t="shared" si="12"/>
        <v>1.73</v>
      </c>
      <c r="H84" s="50">
        <f t="shared" si="13"/>
        <v>4.0000000000000036E-2</v>
      </c>
      <c r="I84" s="51"/>
      <c r="J84" s="52">
        <f t="shared" si="14"/>
        <v>77892.049157942645</v>
      </c>
      <c r="K84" s="53">
        <f t="shared" si="15"/>
        <v>1800.9722348657276</v>
      </c>
      <c r="M84" s="63">
        <f t="shared" si="16"/>
        <v>77.892049157942651</v>
      </c>
      <c r="N84" s="64">
        <f t="shared" si="17"/>
        <v>1.8009722348657276</v>
      </c>
    </row>
    <row r="85" spans="1:14" x14ac:dyDescent="0.25">
      <c r="A85" s="1"/>
      <c r="B85" s="29">
        <v>1004011</v>
      </c>
      <c r="C85" s="29">
        <v>4</v>
      </c>
      <c r="D85" s="29">
        <v>200</v>
      </c>
      <c r="E85" s="69">
        <v>3.5</v>
      </c>
      <c r="F85" s="35">
        <v>3.81</v>
      </c>
      <c r="G85" s="49">
        <f t="shared" si="12"/>
        <v>0.5</v>
      </c>
      <c r="H85" s="50">
        <f t="shared" si="13"/>
        <v>0.18999999999999995</v>
      </c>
      <c r="I85" s="51"/>
      <c r="J85" s="52">
        <f t="shared" si="14"/>
        <v>78303.140646335916</v>
      </c>
      <c r="K85" s="53">
        <f t="shared" si="15"/>
        <v>29755.193445607641</v>
      </c>
      <c r="M85" s="63">
        <f t="shared" si="16"/>
        <v>78.303140646335919</v>
      </c>
      <c r="N85" s="64">
        <f t="shared" si="17"/>
        <v>29.755193445607642</v>
      </c>
    </row>
    <row r="86" spans="1:14" x14ac:dyDescent="0.25">
      <c r="A86" s="1"/>
      <c r="B86" s="29">
        <v>1004011</v>
      </c>
      <c r="C86" s="29">
        <v>4</v>
      </c>
      <c r="D86" s="29">
        <v>200</v>
      </c>
      <c r="E86" s="69">
        <v>3.5</v>
      </c>
      <c r="F86" s="35">
        <v>3.81</v>
      </c>
      <c r="G86" s="49">
        <f t="shared" si="12"/>
        <v>0.5</v>
      </c>
      <c r="H86" s="50">
        <f t="shared" si="13"/>
        <v>0.18999999999999995</v>
      </c>
      <c r="I86" s="51"/>
      <c r="J86" s="52">
        <f t="shared" si="14"/>
        <v>78303.140646335916</v>
      </c>
      <c r="K86" s="53">
        <f t="shared" si="15"/>
        <v>29755.193445607641</v>
      </c>
      <c r="M86" s="63">
        <f t="shared" si="16"/>
        <v>78.303140646335919</v>
      </c>
      <c r="N86" s="64">
        <f t="shared" si="17"/>
        <v>29.755193445607642</v>
      </c>
    </row>
    <row r="87" spans="1:14" x14ac:dyDescent="0.25">
      <c r="A87" s="1"/>
      <c r="B87" s="29">
        <v>1004011</v>
      </c>
      <c r="C87" s="29">
        <v>4</v>
      </c>
      <c r="D87" s="29">
        <v>200</v>
      </c>
      <c r="E87" s="69">
        <v>3.5</v>
      </c>
      <c r="F87" s="35">
        <v>3.81</v>
      </c>
      <c r="G87" s="49">
        <f t="shared" si="12"/>
        <v>0.5</v>
      </c>
      <c r="H87" s="50">
        <f t="shared" si="13"/>
        <v>0.18999999999999995</v>
      </c>
      <c r="I87" s="51"/>
      <c r="J87" s="52">
        <f t="shared" si="14"/>
        <v>78303.140646335916</v>
      </c>
      <c r="K87" s="53">
        <f t="shared" si="15"/>
        <v>29755.193445607641</v>
      </c>
      <c r="M87" s="63">
        <f t="shared" si="16"/>
        <v>78.303140646335919</v>
      </c>
      <c r="N87" s="64">
        <f t="shared" si="17"/>
        <v>29.755193445607642</v>
      </c>
    </row>
    <row r="88" spans="1:14" x14ac:dyDescent="0.25">
      <c r="A88" s="1"/>
      <c r="B88" s="29">
        <v>1004011</v>
      </c>
      <c r="C88" s="29">
        <v>4</v>
      </c>
      <c r="D88" s="29">
        <v>200</v>
      </c>
      <c r="E88" s="69">
        <v>3.5</v>
      </c>
      <c r="F88" s="35">
        <v>3.81</v>
      </c>
      <c r="G88" s="49">
        <f t="shared" si="12"/>
        <v>0.5</v>
      </c>
      <c r="H88" s="50">
        <f t="shared" si="13"/>
        <v>0.18999999999999995</v>
      </c>
      <c r="I88" s="51"/>
      <c r="J88" s="52">
        <f t="shared" si="14"/>
        <v>78303.140646335916</v>
      </c>
      <c r="K88" s="53">
        <f t="shared" si="15"/>
        <v>29755.193445607641</v>
      </c>
      <c r="M88" s="63">
        <f t="shared" si="16"/>
        <v>78.303140646335919</v>
      </c>
      <c r="N88" s="64">
        <f t="shared" si="17"/>
        <v>29.755193445607642</v>
      </c>
    </row>
    <row r="89" spans="1:14" x14ac:dyDescent="0.25">
      <c r="A89" s="1"/>
      <c r="B89" s="29">
        <v>1004011</v>
      </c>
      <c r="C89" s="29">
        <v>4</v>
      </c>
      <c r="D89" s="29">
        <v>200</v>
      </c>
      <c r="E89" s="69">
        <v>3.5</v>
      </c>
      <c r="F89" s="35">
        <v>3.81</v>
      </c>
      <c r="G89" s="49">
        <f t="shared" si="12"/>
        <v>0.5</v>
      </c>
      <c r="H89" s="50">
        <f t="shared" si="13"/>
        <v>0.18999999999999995</v>
      </c>
      <c r="I89" s="51"/>
      <c r="J89" s="52">
        <f t="shared" si="14"/>
        <v>78303.140646335916</v>
      </c>
      <c r="K89" s="53">
        <f t="shared" si="15"/>
        <v>29755.193445607641</v>
      </c>
      <c r="M89" s="63">
        <f t="shared" si="16"/>
        <v>78.303140646335919</v>
      </c>
      <c r="N89" s="64">
        <f t="shared" si="17"/>
        <v>29.755193445607642</v>
      </c>
    </row>
    <row r="90" spans="1:14" x14ac:dyDescent="0.25">
      <c r="A90" s="1"/>
      <c r="B90" s="29">
        <v>1004011</v>
      </c>
      <c r="C90" s="29">
        <v>4</v>
      </c>
      <c r="D90" s="29">
        <v>200</v>
      </c>
      <c r="E90" s="69">
        <v>3.5</v>
      </c>
      <c r="F90" s="35">
        <v>3.81</v>
      </c>
      <c r="G90" s="49">
        <f t="shared" si="12"/>
        <v>0.5</v>
      </c>
      <c r="H90" s="50">
        <f t="shared" si="13"/>
        <v>0.18999999999999995</v>
      </c>
      <c r="I90" s="51"/>
      <c r="J90" s="52">
        <f t="shared" si="14"/>
        <v>78303.140646335916</v>
      </c>
      <c r="K90" s="53">
        <f t="shared" si="15"/>
        <v>29755.193445607641</v>
      </c>
      <c r="M90" s="63">
        <f t="shared" si="16"/>
        <v>78.303140646335919</v>
      </c>
      <c r="N90" s="64">
        <f t="shared" si="17"/>
        <v>29.755193445607642</v>
      </c>
    </row>
    <row r="91" spans="1:14" x14ac:dyDescent="0.25">
      <c r="A91" s="1"/>
      <c r="B91" s="29">
        <v>1004011</v>
      </c>
      <c r="C91" s="29">
        <v>4</v>
      </c>
      <c r="D91" s="29">
        <v>200</v>
      </c>
      <c r="E91" s="69">
        <v>3.5</v>
      </c>
      <c r="F91" s="35">
        <v>3.81</v>
      </c>
      <c r="G91" s="49">
        <f t="shared" si="12"/>
        <v>0.5</v>
      </c>
      <c r="H91" s="50">
        <f t="shared" si="13"/>
        <v>0.18999999999999995</v>
      </c>
      <c r="I91" s="51"/>
      <c r="J91" s="52">
        <f t="shared" si="14"/>
        <v>78303.140646335916</v>
      </c>
      <c r="K91" s="53">
        <f t="shared" si="15"/>
        <v>29755.193445607641</v>
      </c>
      <c r="M91" s="63">
        <f t="shared" si="16"/>
        <v>78.303140646335919</v>
      </c>
      <c r="N91" s="64">
        <f t="shared" si="17"/>
        <v>29.755193445607642</v>
      </c>
    </row>
    <row r="92" spans="1:14" x14ac:dyDescent="0.25">
      <c r="A92" s="1"/>
      <c r="B92" s="29">
        <v>1004011</v>
      </c>
      <c r="C92" s="29">
        <v>4</v>
      </c>
      <c r="D92" s="29">
        <v>200</v>
      </c>
      <c r="E92" s="69">
        <v>3.5</v>
      </c>
      <c r="F92" s="35">
        <v>3.81</v>
      </c>
      <c r="G92" s="49">
        <f t="shared" si="12"/>
        <v>0.5</v>
      </c>
      <c r="H92" s="50">
        <f t="shared" si="13"/>
        <v>0.18999999999999995</v>
      </c>
      <c r="I92" s="51"/>
      <c r="J92" s="52">
        <f t="shared" si="14"/>
        <v>78303.140646335916</v>
      </c>
      <c r="K92" s="53">
        <f t="shared" si="15"/>
        <v>29755.193445607641</v>
      </c>
      <c r="M92" s="63">
        <f t="shared" si="16"/>
        <v>78.303140646335919</v>
      </c>
      <c r="N92" s="64">
        <f t="shared" si="17"/>
        <v>29.755193445607642</v>
      </c>
    </row>
    <row r="93" spans="1:14" x14ac:dyDescent="0.25">
      <c r="A93" s="1"/>
      <c r="B93" s="29">
        <v>1004011</v>
      </c>
      <c r="C93" s="29">
        <v>4</v>
      </c>
      <c r="D93" s="29">
        <v>200</v>
      </c>
      <c r="E93" s="69">
        <v>3.5</v>
      </c>
      <c r="F93" s="35">
        <v>3.81</v>
      </c>
      <c r="G93" s="49">
        <f t="shared" si="12"/>
        <v>0.5</v>
      </c>
      <c r="H93" s="50">
        <f t="shared" si="13"/>
        <v>0.18999999999999995</v>
      </c>
      <c r="I93" s="51"/>
      <c r="J93" s="52">
        <f t="shared" si="14"/>
        <v>78303.140646335916</v>
      </c>
      <c r="K93" s="53">
        <f t="shared" si="15"/>
        <v>29755.193445607641</v>
      </c>
      <c r="M93" s="63">
        <f t="shared" si="16"/>
        <v>78.303140646335919</v>
      </c>
      <c r="N93" s="64">
        <f t="shared" si="17"/>
        <v>29.755193445607642</v>
      </c>
    </row>
    <row r="94" spans="1:14" x14ac:dyDescent="0.25">
      <c r="A94" s="1"/>
      <c r="B94" s="29">
        <v>1004011</v>
      </c>
      <c r="C94" s="29">
        <v>4</v>
      </c>
      <c r="D94" s="29">
        <v>200</v>
      </c>
      <c r="E94" s="69">
        <v>3.5</v>
      </c>
      <c r="F94" s="35">
        <v>3.81</v>
      </c>
      <c r="G94" s="49">
        <f t="shared" si="12"/>
        <v>0.5</v>
      </c>
      <c r="H94" s="50">
        <f t="shared" si="13"/>
        <v>0.18999999999999995</v>
      </c>
      <c r="I94" s="51"/>
      <c r="J94" s="52">
        <f t="shared" si="14"/>
        <v>78303.140646335916</v>
      </c>
      <c r="K94" s="53">
        <f t="shared" si="15"/>
        <v>29755.193445607641</v>
      </c>
      <c r="M94" s="63">
        <f t="shared" si="16"/>
        <v>78.303140646335919</v>
      </c>
      <c r="N94" s="64">
        <f t="shared" si="17"/>
        <v>29.755193445607642</v>
      </c>
    </row>
    <row r="95" spans="1:14" x14ac:dyDescent="0.25">
      <c r="A95" s="1"/>
      <c r="B95" s="29">
        <v>1004011</v>
      </c>
      <c r="C95" s="29">
        <v>4</v>
      </c>
      <c r="D95" s="29">
        <v>200</v>
      </c>
      <c r="E95" s="69">
        <v>3.5</v>
      </c>
      <c r="F95" s="35">
        <v>3.81</v>
      </c>
      <c r="G95" s="49">
        <f t="shared" si="12"/>
        <v>0.5</v>
      </c>
      <c r="H95" s="50">
        <f t="shared" si="13"/>
        <v>0.18999999999999995</v>
      </c>
      <c r="I95" s="51"/>
      <c r="J95" s="52">
        <f t="shared" si="14"/>
        <v>78303.140646335916</v>
      </c>
      <c r="K95" s="53">
        <f t="shared" si="15"/>
        <v>29755.193445607641</v>
      </c>
      <c r="M95" s="63">
        <f t="shared" si="16"/>
        <v>78.303140646335919</v>
      </c>
      <c r="N95" s="64">
        <f t="shared" si="17"/>
        <v>29.755193445607642</v>
      </c>
    </row>
    <row r="96" spans="1:14" x14ac:dyDescent="0.25">
      <c r="A96" s="1"/>
      <c r="B96" s="29">
        <v>1004011</v>
      </c>
      <c r="C96" s="29">
        <v>4</v>
      </c>
      <c r="D96" s="29">
        <v>200</v>
      </c>
      <c r="E96" s="69">
        <v>3.5</v>
      </c>
      <c r="F96" s="35">
        <v>3.81</v>
      </c>
      <c r="G96" s="49">
        <f t="shared" si="12"/>
        <v>0.5</v>
      </c>
      <c r="H96" s="50">
        <f t="shared" si="13"/>
        <v>0.18999999999999995</v>
      </c>
      <c r="I96" s="51"/>
      <c r="J96" s="52">
        <f t="shared" si="14"/>
        <v>78303.140646335916</v>
      </c>
      <c r="K96" s="53">
        <f t="shared" si="15"/>
        <v>29755.193445607641</v>
      </c>
      <c r="M96" s="63">
        <f t="shared" si="16"/>
        <v>78.303140646335919</v>
      </c>
      <c r="N96" s="64">
        <f t="shared" si="17"/>
        <v>29.755193445607642</v>
      </c>
    </row>
    <row r="97" spans="1:14" x14ac:dyDescent="0.25">
      <c r="A97" s="1"/>
      <c r="B97" s="29">
        <v>1004011</v>
      </c>
      <c r="C97" s="29">
        <v>4</v>
      </c>
      <c r="D97" s="29">
        <v>200</v>
      </c>
      <c r="E97" s="69">
        <v>3.5</v>
      </c>
      <c r="F97" s="35">
        <v>3.81</v>
      </c>
      <c r="G97" s="49">
        <f t="shared" si="12"/>
        <v>0.5</v>
      </c>
      <c r="H97" s="50">
        <f t="shared" si="13"/>
        <v>0.18999999999999995</v>
      </c>
      <c r="I97" s="51"/>
      <c r="J97" s="52">
        <f t="shared" si="14"/>
        <v>78303.140646335916</v>
      </c>
      <c r="K97" s="53">
        <f t="shared" si="15"/>
        <v>29755.193445607641</v>
      </c>
      <c r="M97" s="63">
        <f t="shared" si="16"/>
        <v>78.303140646335919</v>
      </c>
      <c r="N97" s="64">
        <f t="shared" si="17"/>
        <v>29.755193445607642</v>
      </c>
    </row>
    <row r="98" spans="1:14" x14ac:dyDescent="0.25">
      <c r="A98" s="1"/>
      <c r="B98" s="29">
        <v>1020716</v>
      </c>
      <c r="C98" s="29">
        <v>2</v>
      </c>
      <c r="D98" s="29">
        <v>460</v>
      </c>
      <c r="E98" s="69">
        <v>0.26</v>
      </c>
      <c r="F98" s="35">
        <v>1.94</v>
      </c>
      <c r="G98" s="49">
        <f t="shared" si="12"/>
        <v>1.74</v>
      </c>
      <c r="H98" s="50">
        <f t="shared" si="13"/>
        <v>6.0000000000000053E-2</v>
      </c>
      <c r="I98" s="51"/>
      <c r="J98" s="52">
        <f t="shared" si="14"/>
        <v>78342.292216659072</v>
      </c>
      <c r="K98" s="53">
        <f t="shared" si="15"/>
        <v>2701.4583522985913</v>
      </c>
      <c r="M98" s="63">
        <f t="shared" si="16"/>
        <v>78.342292216659075</v>
      </c>
      <c r="N98" s="64">
        <f t="shared" si="17"/>
        <v>2.7014583522985913</v>
      </c>
    </row>
    <row r="99" spans="1:14" x14ac:dyDescent="0.25">
      <c r="A99" s="1"/>
      <c r="B99" s="29">
        <v>1020716</v>
      </c>
      <c r="C99" s="29">
        <v>2</v>
      </c>
      <c r="D99" s="29">
        <v>460</v>
      </c>
      <c r="E99" s="69">
        <v>0.26</v>
      </c>
      <c r="F99" s="35">
        <v>1.94</v>
      </c>
      <c r="G99" s="49">
        <f t="shared" si="12"/>
        <v>1.74</v>
      </c>
      <c r="H99" s="50">
        <f t="shared" si="13"/>
        <v>6.0000000000000053E-2</v>
      </c>
      <c r="I99" s="51"/>
      <c r="J99" s="52">
        <f t="shared" si="14"/>
        <v>78342.292216659072</v>
      </c>
      <c r="K99" s="53">
        <f t="shared" si="15"/>
        <v>2701.4583522985913</v>
      </c>
      <c r="M99" s="63">
        <f t="shared" si="16"/>
        <v>78.342292216659075</v>
      </c>
      <c r="N99" s="64">
        <f t="shared" si="17"/>
        <v>2.7014583522985913</v>
      </c>
    </row>
    <row r="100" spans="1:14" x14ac:dyDescent="0.25">
      <c r="A100" s="1"/>
      <c r="B100" s="29">
        <v>1020716</v>
      </c>
      <c r="C100" s="29">
        <v>2</v>
      </c>
      <c r="D100" s="29">
        <v>460</v>
      </c>
      <c r="E100" s="69">
        <v>0.26</v>
      </c>
      <c r="F100" s="35">
        <v>1.96</v>
      </c>
      <c r="G100" s="49">
        <f t="shared" ref="G100:G131" si="18">ABS(E100-C100)</f>
        <v>1.74</v>
      </c>
      <c r="H100" s="50">
        <f t="shared" ref="H100:H131" si="19">ABS(F100-C100)</f>
        <v>4.0000000000000036E-2</v>
      </c>
      <c r="I100" s="51"/>
      <c r="J100" s="52">
        <f t="shared" ref="J100:J131" si="20">(((2*(D100/1000)*((C100/1000)^3)*210000000000/(0.0325^3))))*(G100/1000)</f>
        <v>78342.292216659072</v>
      </c>
      <c r="K100" s="53">
        <f t="shared" ref="K100:K131" si="21">(((2*(D100/1000)*((C100/1000)^3)*210000000000/(0.0325^3))))*(H100/1000)</f>
        <v>1800.9722348657276</v>
      </c>
      <c r="M100" s="63">
        <f t="shared" ref="M100:M131" si="22">J100/1000</f>
        <v>78.342292216659075</v>
      </c>
      <c r="N100" s="64">
        <f t="shared" ref="N100:N131" si="23">K100/1000</f>
        <v>1.8009722348657276</v>
      </c>
    </row>
    <row r="101" spans="1:14" x14ac:dyDescent="0.25">
      <c r="A101" s="1"/>
      <c r="B101" s="29">
        <v>1020716</v>
      </c>
      <c r="C101" s="29">
        <v>2</v>
      </c>
      <c r="D101" s="29">
        <v>460</v>
      </c>
      <c r="E101" s="69">
        <v>0.26</v>
      </c>
      <c r="F101" s="35">
        <v>1.96</v>
      </c>
      <c r="G101" s="49">
        <f t="shared" si="18"/>
        <v>1.74</v>
      </c>
      <c r="H101" s="50">
        <f t="shared" si="19"/>
        <v>4.0000000000000036E-2</v>
      </c>
      <c r="I101" s="51"/>
      <c r="J101" s="52">
        <f t="shared" si="20"/>
        <v>78342.292216659072</v>
      </c>
      <c r="K101" s="53">
        <f t="shared" si="21"/>
        <v>1800.9722348657276</v>
      </c>
      <c r="M101" s="63">
        <f t="shared" si="22"/>
        <v>78.342292216659075</v>
      </c>
      <c r="N101" s="64">
        <f t="shared" si="23"/>
        <v>1.8009722348657276</v>
      </c>
    </row>
    <row r="102" spans="1:14" x14ac:dyDescent="0.25">
      <c r="A102" s="1"/>
      <c r="B102" s="29">
        <v>1020716</v>
      </c>
      <c r="C102" s="29">
        <v>2</v>
      </c>
      <c r="D102" s="29">
        <v>460</v>
      </c>
      <c r="E102" s="69">
        <v>0.26</v>
      </c>
      <c r="F102" s="35">
        <v>1.96</v>
      </c>
      <c r="G102" s="49">
        <f t="shared" si="18"/>
        <v>1.74</v>
      </c>
      <c r="H102" s="50">
        <f t="shared" si="19"/>
        <v>4.0000000000000036E-2</v>
      </c>
      <c r="I102" s="51"/>
      <c r="J102" s="52">
        <f t="shared" si="20"/>
        <v>78342.292216659072</v>
      </c>
      <c r="K102" s="53">
        <f t="shared" si="21"/>
        <v>1800.9722348657276</v>
      </c>
      <c r="M102" s="63">
        <f t="shared" si="22"/>
        <v>78.342292216659075</v>
      </c>
      <c r="N102" s="64">
        <f t="shared" si="23"/>
        <v>1.8009722348657276</v>
      </c>
    </row>
    <row r="103" spans="1:14" x14ac:dyDescent="0.25">
      <c r="A103" s="1"/>
      <c r="B103" s="29">
        <v>1020716</v>
      </c>
      <c r="C103" s="29">
        <v>2</v>
      </c>
      <c r="D103" s="29">
        <v>460</v>
      </c>
      <c r="E103" s="69">
        <v>0.26</v>
      </c>
      <c r="F103" s="35">
        <v>1.96</v>
      </c>
      <c r="G103" s="49">
        <f t="shared" si="18"/>
        <v>1.74</v>
      </c>
      <c r="H103" s="50">
        <f t="shared" si="19"/>
        <v>4.0000000000000036E-2</v>
      </c>
      <c r="I103" s="51"/>
      <c r="J103" s="52">
        <f t="shared" si="20"/>
        <v>78342.292216659072</v>
      </c>
      <c r="K103" s="53">
        <f t="shared" si="21"/>
        <v>1800.9722348657276</v>
      </c>
      <c r="M103" s="63">
        <f t="shared" si="22"/>
        <v>78.342292216659075</v>
      </c>
      <c r="N103" s="64">
        <f t="shared" si="23"/>
        <v>1.8009722348657276</v>
      </c>
    </row>
    <row r="104" spans="1:14" x14ac:dyDescent="0.25">
      <c r="A104" s="1"/>
      <c r="B104" s="29">
        <v>1020716</v>
      </c>
      <c r="C104" s="29">
        <v>2</v>
      </c>
      <c r="D104" s="29">
        <v>460</v>
      </c>
      <c r="E104" s="69">
        <v>0.26</v>
      </c>
      <c r="F104" s="35">
        <v>1.96</v>
      </c>
      <c r="G104" s="49">
        <f t="shared" si="18"/>
        <v>1.74</v>
      </c>
      <c r="H104" s="50">
        <f t="shared" si="19"/>
        <v>4.0000000000000036E-2</v>
      </c>
      <c r="I104" s="51"/>
      <c r="J104" s="52">
        <f t="shared" si="20"/>
        <v>78342.292216659072</v>
      </c>
      <c r="K104" s="53">
        <f t="shared" si="21"/>
        <v>1800.9722348657276</v>
      </c>
      <c r="M104" s="63">
        <f t="shared" si="22"/>
        <v>78.342292216659075</v>
      </c>
      <c r="N104" s="64">
        <f t="shared" si="23"/>
        <v>1.8009722348657276</v>
      </c>
    </row>
    <row r="105" spans="1:14" x14ac:dyDescent="0.25">
      <c r="A105" s="1"/>
      <c r="B105" s="29">
        <v>1020716</v>
      </c>
      <c r="C105" s="29">
        <v>2</v>
      </c>
      <c r="D105" s="29">
        <v>460</v>
      </c>
      <c r="E105" s="69">
        <v>0.25</v>
      </c>
      <c r="F105" s="35">
        <v>1.94</v>
      </c>
      <c r="G105" s="49">
        <f t="shared" si="18"/>
        <v>1.75</v>
      </c>
      <c r="H105" s="50">
        <f t="shared" si="19"/>
        <v>6.0000000000000053E-2</v>
      </c>
      <c r="I105" s="51"/>
      <c r="J105" s="52">
        <f t="shared" si="20"/>
        <v>78792.535275375514</v>
      </c>
      <c r="K105" s="53">
        <f t="shared" si="21"/>
        <v>2701.4583522985913</v>
      </c>
      <c r="M105" s="63">
        <f t="shared" si="22"/>
        <v>78.792535275375513</v>
      </c>
      <c r="N105" s="64">
        <f t="shared" si="23"/>
        <v>2.7014583522985913</v>
      </c>
    </row>
    <row r="106" spans="1:14" x14ac:dyDescent="0.25">
      <c r="A106" s="1"/>
      <c r="B106" s="29">
        <v>1020716</v>
      </c>
      <c r="C106" s="29">
        <v>2</v>
      </c>
      <c r="D106" s="29">
        <v>460</v>
      </c>
      <c r="E106" s="69">
        <v>0.25</v>
      </c>
      <c r="F106" s="35">
        <v>1.94</v>
      </c>
      <c r="G106" s="49">
        <f t="shared" si="18"/>
        <v>1.75</v>
      </c>
      <c r="H106" s="50">
        <f t="shared" si="19"/>
        <v>6.0000000000000053E-2</v>
      </c>
      <c r="I106" s="51"/>
      <c r="J106" s="52">
        <f t="shared" si="20"/>
        <v>78792.535275375514</v>
      </c>
      <c r="K106" s="53">
        <f t="shared" si="21"/>
        <v>2701.4583522985913</v>
      </c>
      <c r="M106" s="63">
        <f t="shared" si="22"/>
        <v>78.792535275375513</v>
      </c>
      <c r="N106" s="64">
        <f t="shared" si="23"/>
        <v>2.7014583522985913</v>
      </c>
    </row>
    <row r="107" spans="1:14" x14ac:dyDescent="0.25">
      <c r="A107" s="1"/>
      <c r="B107" s="29">
        <v>1020716</v>
      </c>
      <c r="C107" s="29">
        <v>2</v>
      </c>
      <c r="D107" s="29">
        <v>460</v>
      </c>
      <c r="E107" s="69">
        <v>0.25</v>
      </c>
      <c r="F107" s="35">
        <v>1.94</v>
      </c>
      <c r="G107" s="49">
        <f t="shared" si="18"/>
        <v>1.75</v>
      </c>
      <c r="H107" s="50">
        <f t="shared" si="19"/>
        <v>6.0000000000000053E-2</v>
      </c>
      <c r="I107" s="51"/>
      <c r="J107" s="52">
        <f t="shared" si="20"/>
        <v>78792.535275375514</v>
      </c>
      <c r="K107" s="53">
        <f t="shared" si="21"/>
        <v>2701.4583522985913</v>
      </c>
      <c r="M107" s="63">
        <f t="shared" si="22"/>
        <v>78.792535275375513</v>
      </c>
      <c r="N107" s="64">
        <f t="shared" si="23"/>
        <v>2.7014583522985913</v>
      </c>
    </row>
    <row r="108" spans="1:14" x14ac:dyDescent="0.25">
      <c r="A108" s="1"/>
      <c r="B108" s="29">
        <v>1020716</v>
      </c>
      <c r="C108" s="29">
        <v>2</v>
      </c>
      <c r="D108" s="29">
        <v>460</v>
      </c>
      <c r="E108" s="69">
        <v>0.25</v>
      </c>
      <c r="F108" s="35">
        <v>1.94</v>
      </c>
      <c r="G108" s="49">
        <f t="shared" si="18"/>
        <v>1.75</v>
      </c>
      <c r="H108" s="50">
        <f t="shared" si="19"/>
        <v>6.0000000000000053E-2</v>
      </c>
      <c r="I108" s="51"/>
      <c r="J108" s="52">
        <f t="shared" si="20"/>
        <v>78792.535275375514</v>
      </c>
      <c r="K108" s="53">
        <f t="shared" si="21"/>
        <v>2701.4583522985913</v>
      </c>
      <c r="M108" s="63">
        <f t="shared" si="22"/>
        <v>78.792535275375513</v>
      </c>
      <c r="N108" s="64">
        <f t="shared" si="23"/>
        <v>2.7014583522985913</v>
      </c>
    </row>
    <row r="109" spans="1:14" x14ac:dyDescent="0.25">
      <c r="A109" s="1"/>
      <c r="B109" s="29">
        <v>1020716</v>
      </c>
      <c r="C109" s="29">
        <v>2</v>
      </c>
      <c r="D109" s="29">
        <v>460</v>
      </c>
      <c r="E109" s="69">
        <v>0.25</v>
      </c>
      <c r="F109" s="35">
        <v>1.95</v>
      </c>
      <c r="G109" s="49">
        <f t="shared" si="18"/>
        <v>1.75</v>
      </c>
      <c r="H109" s="50">
        <f t="shared" si="19"/>
        <v>5.0000000000000044E-2</v>
      </c>
      <c r="I109" s="51"/>
      <c r="J109" s="52">
        <f t="shared" si="20"/>
        <v>78792.535275375514</v>
      </c>
      <c r="K109" s="53">
        <f t="shared" si="21"/>
        <v>2251.2152935821596</v>
      </c>
      <c r="M109" s="63">
        <f t="shared" si="22"/>
        <v>78.792535275375513</v>
      </c>
      <c r="N109" s="64">
        <f t="shared" si="23"/>
        <v>2.2512152935821597</v>
      </c>
    </row>
    <row r="110" spans="1:14" x14ac:dyDescent="0.25">
      <c r="A110" s="1"/>
      <c r="B110" s="29">
        <v>1020716</v>
      </c>
      <c r="C110" s="29">
        <v>2</v>
      </c>
      <c r="D110" s="29">
        <v>460</v>
      </c>
      <c r="E110" s="69">
        <v>0.25</v>
      </c>
      <c r="F110" s="35">
        <v>1.95</v>
      </c>
      <c r="G110" s="49">
        <f t="shared" si="18"/>
        <v>1.75</v>
      </c>
      <c r="H110" s="50">
        <f t="shared" si="19"/>
        <v>5.0000000000000044E-2</v>
      </c>
      <c r="I110" s="51"/>
      <c r="J110" s="52">
        <f t="shared" si="20"/>
        <v>78792.535275375514</v>
      </c>
      <c r="K110" s="53">
        <f t="shared" si="21"/>
        <v>2251.2152935821596</v>
      </c>
      <c r="M110" s="63">
        <f t="shared" si="22"/>
        <v>78.792535275375513</v>
      </c>
      <c r="N110" s="64">
        <f t="shared" si="23"/>
        <v>2.2512152935821597</v>
      </c>
    </row>
    <row r="111" spans="1:14" x14ac:dyDescent="0.25">
      <c r="A111" s="1"/>
      <c r="B111" s="29">
        <v>1020716</v>
      </c>
      <c r="C111" s="29">
        <v>2</v>
      </c>
      <c r="D111" s="29">
        <v>460</v>
      </c>
      <c r="E111" s="69">
        <v>0.25</v>
      </c>
      <c r="F111" s="35">
        <v>1.95</v>
      </c>
      <c r="G111" s="49">
        <f t="shared" si="18"/>
        <v>1.75</v>
      </c>
      <c r="H111" s="50">
        <f t="shared" si="19"/>
        <v>5.0000000000000044E-2</v>
      </c>
      <c r="I111" s="51"/>
      <c r="J111" s="52">
        <f t="shared" si="20"/>
        <v>78792.535275375514</v>
      </c>
      <c r="K111" s="53">
        <f t="shared" si="21"/>
        <v>2251.2152935821596</v>
      </c>
      <c r="M111" s="63">
        <f t="shared" si="22"/>
        <v>78.792535275375513</v>
      </c>
      <c r="N111" s="64">
        <f t="shared" si="23"/>
        <v>2.2512152935821597</v>
      </c>
    </row>
    <row r="112" spans="1:14" x14ac:dyDescent="0.25">
      <c r="A112" s="1"/>
      <c r="B112" s="29">
        <v>1020716</v>
      </c>
      <c r="C112" s="29">
        <v>2</v>
      </c>
      <c r="D112" s="29">
        <v>460</v>
      </c>
      <c r="E112" s="69">
        <v>0.24</v>
      </c>
      <c r="F112" s="35">
        <v>1.94</v>
      </c>
      <c r="G112" s="49">
        <f t="shared" si="18"/>
        <v>1.76</v>
      </c>
      <c r="H112" s="50">
        <f t="shared" si="19"/>
        <v>6.0000000000000053E-2</v>
      </c>
      <c r="I112" s="51"/>
      <c r="J112" s="52">
        <f t="shared" si="20"/>
        <v>79242.778334091941</v>
      </c>
      <c r="K112" s="53">
        <f t="shared" si="21"/>
        <v>2701.4583522985913</v>
      </c>
      <c r="M112" s="63">
        <f t="shared" si="22"/>
        <v>79.242778334091938</v>
      </c>
      <c r="N112" s="64">
        <f t="shared" si="23"/>
        <v>2.7014583522985913</v>
      </c>
    </row>
    <row r="113" spans="1:14" x14ac:dyDescent="0.25">
      <c r="A113" s="1"/>
      <c r="B113" s="29">
        <v>1020716</v>
      </c>
      <c r="C113" s="29">
        <v>2</v>
      </c>
      <c r="D113" s="29">
        <v>460</v>
      </c>
      <c r="E113" s="69">
        <v>0.24</v>
      </c>
      <c r="F113" s="35">
        <v>1.94</v>
      </c>
      <c r="G113" s="49">
        <f t="shared" si="18"/>
        <v>1.76</v>
      </c>
      <c r="H113" s="50">
        <f t="shared" si="19"/>
        <v>6.0000000000000053E-2</v>
      </c>
      <c r="I113" s="51"/>
      <c r="J113" s="52">
        <f t="shared" si="20"/>
        <v>79242.778334091941</v>
      </c>
      <c r="K113" s="53">
        <f t="shared" si="21"/>
        <v>2701.4583522985913</v>
      </c>
      <c r="M113" s="63">
        <f t="shared" si="22"/>
        <v>79.242778334091938</v>
      </c>
      <c r="N113" s="64">
        <f t="shared" si="23"/>
        <v>2.7014583522985913</v>
      </c>
    </row>
    <row r="114" spans="1:14" x14ac:dyDescent="0.25">
      <c r="A114" s="1"/>
      <c r="B114" s="7">
        <v>1020843</v>
      </c>
      <c r="C114" s="7">
        <v>2</v>
      </c>
      <c r="D114" s="7">
        <v>670</v>
      </c>
      <c r="E114" s="70">
        <v>0.79</v>
      </c>
      <c r="F114" s="35">
        <v>1.92</v>
      </c>
      <c r="G114" s="49">
        <f t="shared" si="18"/>
        <v>1.21</v>
      </c>
      <c r="H114" s="50">
        <f t="shared" si="19"/>
        <v>8.0000000000000071E-2</v>
      </c>
      <c r="I114" s="51"/>
      <c r="J114" s="52">
        <f t="shared" si="20"/>
        <v>79350.44515248065</v>
      </c>
      <c r="K114" s="53">
        <f t="shared" si="21"/>
        <v>5246.3104233045115</v>
      </c>
      <c r="M114" s="63">
        <f t="shared" si="22"/>
        <v>79.350445152480646</v>
      </c>
      <c r="N114" s="64">
        <f t="shared" si="23"/>
        <v>5.2463104233045117</v>
      </c>
    </row>
    <row r="115" spans="1:14" x14ac:dyDescent="0.25">
      <c r="A115" s="1"/>
      <c r="B115" s="7">
        <v>1020843</v>
      </c>
      <c r="C115" s="7">
        <v>2</v>
      </c>
      <c r="D115" s="7">
        <v>670</v>
      </c>
      <c r="E115" s="70">
        <v>0.79</v>
      </c>
      <c r="F115" s="55">
        <v>1.8</v>
      </c>
      <c r="G115" s="49">
        <f t="shared" si="18"/>
        <v>1.21</v>
      </c>
      <c r="H115" s="50">
        <f t="shared" si="19"/>
        <v>0.19999999999999996</v>
      </c>
      <c r="I115" s="51"/>
      <c r="J115" s="52">
        <f t="shared" si="20"/>
        <v>79350.44515248065</v>
      </c>
      <c r="K115" s="53">
        <f t="shared" si="21"/>
        <v>13115.776058261263</v>
      </c>
      <c r="M115" s="63">
        <f t="shared" si="22"/>
        <v>79.350445152480646</v>
      </c>
      <c r="N115" s="64">
        <f t="shared" si="23"/>
        <v>13.115776058261263</v>
      </c>
    </row>
    <row r="116" spans="1:14" x14ac:dyDescent="0.25">
      <c r="A116" s="1"/>
      <c r="B116" s="29">
        <v>1015542</v>
      </c>
      <c r="C116" s="29">
        <v>3</v>
      </c>
      <c r="D116" s="29">
        <v>285</v>
      </c>
      <c r="E116" s="69">
        <v>2</v>
      </c>
      <c r="F116" s="35">
        <v>2.8</v>
      </c>
      <c r="G116" s="49">
        <f t="shared" si="18"/>
        <v>1</v>
      </c>
      <c r="H116" s="50">
        <f t="shared" si="19"/>
        <v>0.20000000000000018</v>
      </c>
      <c r="I116" s="51"/>
      <c r="J116" s="52">
        <f t="shared" si="20"/>
        <v>94147.291761492932</v>
      </c>
      <c r="K116" s="53">
        <f t="shared" si="21"/>
        <v>18829.458352298599</v>
      </c>
      <c r="M116" s="63">
        <f t="shared" si="22"/>
        <v>94.147291761492937</v>
      </c>
      <c r="N116" s="64">
        <f t="shared" si="23"/>
        <v>18.829458352298598</v>
      </c>
    </row>
    <row r="117" spans="1:14" x14ac:dyDescent="0.25">
      <c r="A117" s="1"/>
      <c r="B117" s="29">
        <v>1015542</v>
      </c>
      <c r="C117" s="29">
        <v>3</v>
      </c>
      <c r="D117" s="29">
        <v>285</v>
      </c>
      <c r="E117" s="69">
        <v>2</v>
      </c>
      <c r="F117" s="35">
        <v>2.8</v>
      </c>
      <c r="G117" s="49">
        <f t="shared" si="18"/>
        <v>1</v>
      </c>
      <c r="H117" s="50">
        <f t="shared" si="19"/>
        <v>0.20000000000000018</v>
      </c>
      <c r="I117" s="51"/>
      <c r="J117" s="52">
        <f t="shared" si="20"/>
        <v>94147.291761492932</v>
      </c>
      <c r="K117" s="53">
        <f t="shared" si="21"/>
        <v>18829.458352298599</v>
      </c>
      <c r="M117" s="63">
        <f t="shared" si="22"/>
        <v>94.147291761492937</v>
      </c>
      <c r="N117" s="64">
        <f t="shared" si="23"/>
        <v>18.829458352298598</v>
      </c>
    </row>
    <row r="118" spans="1:14" x14ac:dyDescent="0.25">
      <c r="A118" s="1"/>
      <c r="B118" s="29">
        <v>1020673</v>
      </c>
      <c r="C118" s="29">
        <v>3</v>
      </c>
      <c r="D118" s="29">
        <v>297</v>
      </c>
      <c r="E118" s="69">
        <v>2</v>
      </c>
      <c r="F118" s="35">
        <v>2.94</v>
      </c>
      <c r="G118" s="49">
        <f t="shared" si="18"/>
        <v>1</v>
      </c>
      <c r="H118" s="50">
        <f t="shared" si="19"/>
        <v>6.0000000000000053E-2</v>
      </c>
      <c r="I118" s="51"/>
      <c r="J118" s="52">
        <f t="shared" si="20"/>
        <v>98111.388256713675</v>
      </c>
      <c r="K118" s="53">
        <f t="shared" si="21"/>
        <v>5886.6832954028259</v>
      </c>
      <c r="M118" s="63">
        <f t="shared" si="22"/>
        <v>98.111388256713681</v>
      </c>
      <c r="N118" s="64">
        <f t="shared" si="23"/>
        <v>5.8866832954028263</v>
      </c>
    </row>
    <row r="119" spans="1:14" x14ac:dyDescent="0.25">
      <c r="A119" s="1"/>
      <c r="B119" s="29">
        <v>1020843</v>
      </c>
      <c r="C119" s="29">
        <v>2</v>
      </c>
      <c r="D119" s="29">
        <v>670</v>
      </c>
      <c r="E119" s="69">
        <v>0.5</v>
      </c>
      <c r="F119" s="35">
        <v>1.74</v>
      </c>
      <c r="G119" s="49">
        <f t="shared" si="18"/>
        <v>1.5</v>
      </c>
      <c r="H119" s="50">
        <f t="shared" si="19"/>
        <v>0.26</v>
      </c>
      <c r="I119" s="51"/>
      <c r="J119" s="52">
        <f t="shared" si="20"/>
        <v>98368.320436959504</v>
      </c>
      <c r="K119" s="53">
        <f t="shared" si="21"/>
        <v>17050.508875739648</v>
      </c>
      <c r="M119" s="63">
        <f t="shared" si="22"/>
        <v>98.368320436959507</v>
      </c>
      <c r="N119" s="64">
        <f t="shared" si="23"/>
        <v>17.050508875739649</v>
      </c>
    </row>
    <row r="120" spans="1:14" x14ac:dyDescent="0.25">
      <c r="A120" s="1"/>
      <c r="B120" s="29">
        <v>1020843</v>
      </c>
      <c r="C120" s="29">
        <v>2</v>
      </c>
      <c r="D120" s="29">
        <v>670</v>
      </c>
      <c r="E120" s="69">
        <v>0.5</v>
      </c>
      <c r="F120" s="35">
        <v>1.74</v>
      </c>
      <c r="G120" s="49">
        <f t="shared" si="18"/>
        <v>1.5</v>
      </c>
      <c r="H120" s="50">
        <f t="shared" si="19"/>
        <v>0.26</v>
      </c>
      <c r="I120" s="51"/>
      <c r="J120" s="52">
        <f t="shared" si="20"/>
        <v>98368.320436959504</v>
      </c>
      <c r="K120" s="53">
        <f t="shared" si="21"/>
        <v>17050.508875739648</v>
      </c>
      <c r="M120" s="63">
        <f t="shared" si="22"/>
        <v>98.368320436959507</v>
      </c>
      <c r="N120" s="64">
        <f t="shared" si="23"/>
        <v>17.050508875739649</v>
      </c>
    </row>
    <row r="121" spans="1:14" x14ac:dyDescent="0.25">
      <c r="A121" s="1"/>
      <c r="B121" s="7">
        <v>1020843</v>
      </c>
      <c r="C121" s="7">
        <v>2</v>
      </c>
      <c r="D121" s="7">
        <v>670</v>
      </c>
      <c r="E121" s="70">
        <v>0.49</v>
      </c>
      <c r="F121" s="55">
        <v>1.7</v>
      </c>
      <c r="G121" s="49">
        <f t="shared" si="18"/>
        <v>1.51</v>
      </c>
      <c r="H121" s="50">
        <f t="shared" si="19"/>
        <v>0.30000000000000004</v>
      </c>
      <c r="I121" s="51"/>
      <c r="J121" s="52">
        <f t="shared" si="20"/>
        <v>99024.10923987256</v>
      </c>
      <c r="K121" s="53">
        <f t="shared" si="21"/>
        <v>19673.664087391902</v>
      </c>
      <c r="M121" s="63">
        <f t="shared" si="22"/>
        <v>99.024109239872558</v>
      </c>
      <c r="N121" s="64">
        <f t="shared" si="23"/>
        <v>19.673664087391902</v>
      </c>
    </row>
    <row r="122" spans="1:14" x14ac:dyDescent="0.25">
      <c r="A122" s="1"/>
      <c r="B122" s="7">
        <v>1020843</v>
      </c>
      <c r="C122" s="7">
        <v>2</v>
      </c>
      <c r="D122" s="7">
        <v>670</v>
      </c>
      <c r="E122" s="70">
        <v>0.49</v>
      </c>
      <c r="F122" s="55">
        <v>1.64</v>
      </c>
      <c r="G122" s="49">
        <f t="shared" si="18"/>
        <v>1.51</v>
      </c>
      <c r="H122" s="50">
        <f t="shared" si="19"/>
        <v>0.3600000000000001</v>
      </c>
      <c r="I122" s="51"/>
      <c r="J122" s="52">
        <f t="shared" si="20"/>
        <v>99024.10923987256</v>
      </c>
      <c r="K122" s="53">
        <f t="shared" si="21"/>
        <v>23608.396904870286</v>
      </c>
      <c r="M122" s="63">
        <f t="shared" si="22"/>
        <v>99.024109239872558</v>
      </c>
      <c r="N122" s="64">
        <f t="shared" si="23"/>
        <v>23.608396904870286</v>
      </c>
    </row>
    <row r="123" spans="1:14" x14ac:dyDescent="0.25">
      <c r="A123" s="1"/>
      <c r="B123" s="29">
        <v>1015542</v>
      </c>
      <c r="C123" s="29">
        <v>3</v>
      </c>
      <c r="D123" s="29">
        <v>285</v>
      </c>
      <c r="E123" s="69">
        <v>1.9</v>
      </c>
      <c r="F123" s="35">
        <v>3</v>
      </c>
      <c r="G123" s="49">
        <f t="shared" si="18"/>
        <v>1.1000000000000001</v>
      </c>
      <c r="H123" s="50">
        <f t="shared" si="19"/>
        <v>0</v>
      </c>
      <c r="I123" s="51"/>
      <c r="J123" s="52">
        <f t="shared" si="20"/>
        <v>103562.02093764223</v>
      </c>
      <c r="K123" s="53">
        <f t="shared" si="21"/>
        <v>0</v>
      </c>
      <c r="M123" s="63">
        <f t="shared" si="22"/>
        <v>103.56202093764223</v>
      </c>
      <c r="N123" s="64">
        <f t="shared" si="23"/>
        <v>0</v>
      </c>
    </row>
    <row r="124" spans="1:14" x14ac:dyDescent="0.25">
      <c r="A124" s="1"/>
      <c r="B124" s="29">
        <v>1015542</v>
      </c>
      <c r="C124" s="29">
        <v>3</v>
      </c>
      <c r="D124" s="29">
        <v>285</v>
      </c>
      <c r="E124" s="69">
        <v>1.9</v>
      </c>
      <c r="F124" s="35">
        <v>3</v>
      </c>
      <c r="G124" s="49">
        <f t="shared" si="18"/>
        <v>1.1000000000000001</v>
      </c>
      <c r="H124" s="50">
        <f t="shared" si="19"/>
        <v>0</v>
      </c>
      <c r="I124" s="51"/>
      <c r="J124" s="52">
        <f t="shared" si="20"/>
        <v>103562.02093764223</v>
      </c>
      <c r="K124" s="53">
        <f t="shared" si="21"/>
        <v>0</v>
      </c>
      <c r="M124" s="63">
        <f t="shared" si="22"/>
        <v>103.56202093764223</v>
      </c>
      <c r="N124" s="64">
        <f t="shared" si="23"/>
        <v>0</v>
      </c>
    </row>
    <row r="125" spans="1:14" x14ac:dyDescent="0.25">
      <c r="A125" s="1"/>
      <c r="B125" s="29">
        <v>1015542</v>
      </c>
      <c r="C125" s="29">
        <v>3</v>
      </c>
      <c r="D125" s="29">
        <v>285</v>
      </c>
      <c r="E125" s="69">
        <v>1.9</v>
      </c>
      <c r="F125" s="35">
        <v>3</v>
      </c>
      <c r="G125" s="49">
        <f t="shared" si="18"/>
        <v>1.1000000000000001</v>
      </c>
      <c r="H125" s="50">
        <f t="shared" si="19"/>
        <v>0</v>
      </c>
      <c r="I125" s="51"/>
      <c r="J125" s="52">
        <f t="shared" si="20"/>
        <v>103562.02093764223</v>
      </c>
      <c r="K125" s="53">
        <f t="shared" si="21"/>
        <v>0</v>
      </c>
      <c r="M125" s="63">
        <f t="shared" si="22"/>
        <v>103.56202093764223</v>
      </c>
      <c r="N125" s="64">
        <f t="shared" si="23"/>
        <v>0</v>
      </c>
    </row>
    <row r="126" spans="1:14" x14ac:dyDescent="0.25">
      <c r="A126" s="1"/>
      <c r="B126" s="29">
        <v>1015542</v>
      </c>
      <c r="C126" s="29">
        <v>3</v>
      </c>
      <c r="D126" s="29">
        <v>285</v>
      </c>
      <c r="E126" s="69">
        <v>1.9</v>
      </c>
      <c r="F126" s="35">
        <v>3</v>
      </c>
      <c r="G126" s="49">
        <f t="shared" si="18"/>
        <v>1.1000000000000001</v>
      </c>
      <c r="H126" s="50">
        <f t="shared" si="19"/>
        <v>0</v>
      </c>
      <c r="I126" s="51"/>
      <c r="J126" s="52">
        <f t="shared" si="20"/>
        <v>103562.02093764223</v>
      </c>
      <c r="K126" s="53">
        <f t="shared" si="21"/>
        <v>0</v>
      </c>
      <c r="M126" s="63">
        <f t="shared" si="22"/>
        <v>103.56202093764223</v>
      </c>
      <c r="N126" s="64">
        <f t="shared" si="23"/>
        <v>0</v>
      </c>
    </row>
    <row r="127" spans="1:14" x14ac:dyDescent="0.25">
      <c r="A127" s="1"/>
      <c r="B127" s="29">
        <v>1015515</v>
      </c>
      <c r="C127" s="29">
        <v>3</v>
      </c>
      <c r="D127" s="29">
        <v>316</v>
      </c>
      <c r="E127" s="69">
        <v>2</v>
      </c>
      <c r="F127" s="35">
        <v>3</v>
      </c>
      <c r="G127" s="49">
        <f t="shared" si="18"/>
        <v>1</v>
      </c>
      <c r="H127" s="50">
        <f t="shared" si="19"/>
        <v>0</v>
      </c>
      <c r="I127" s="51"/>
      <c r="J127" s="52">
        <f t="shared" si="20"/>
        <v>104387.87437414656</v>
      </c>
      <c r="K127" s="53">
        <f t="shared" si="21"/>
        <v>0</v>
      </c>
      <c r="M127" s="63">
        <f t="shared" si="22"/>
        <v>104.38787437414656</v>
      </c>
      <c r="N127" s="64">
        <f t="shared" si="23"/>
        <v>0</v>
      </c>
    </row>
    <row r="128" spans="1:14" x14ac:dyDescent="0.25">
      <c r="A128" s="1"/>
      <c r="B128" s="29">
        <v>1015515</v>
      </c>
      <c r="C128" s="29">
        <v>3</v>
      </c>
      <c r="D128" s="29">
        <v>316</v>
      </c>
      <c r="E128" s="69">
        <v>2</v>
      </c>
      <c r="F128" s="35">
        <v>3</v>
      </c>
      <c r="G128" s="49">
        <f t="shared" si="18"/>
        <v>1</v>
      </c>
      <c r="H128" s="50">
        <f t="shared" si="19"/>
        <v>0</v>
      </c>
      <c r="I128" s="51"/>
      <c r="J128" s="52">
        <f t="shared" si="20"/>
        <v>104387.87437414656</v>
      </c>
      <c r="K128" s="53">
        <f t="shared" si="21"/>
        <v>0</v>
      </c>
      <c r="M128" s="63">
        <f t="shared" si="22"/>
        <v>104.38787437414656</v>
      </c>
      <c r="N128" s="64">
        <f t="shared" si="23"/>
        <v>0</v>
      </c>
    </row>
    <row r="129" spans="1:14" x14ac:dyDescent="0.25">
      <c r="A129" s="1"/>
      <c r="B129" s="29">
        <v>1015515</v>
      </c>
      <c r="C129" s="29">
        <v>3</v>
      </c>
      <c r="D129" s="29">
        <v>316</v>
      </c>
      <c r="E129" s="69">
        <v>2</v>
      </c>
      <c r="F129" s="35">
        <v>3</v>
      </c>
      <c r="G129" s="49">
        <f t="shared" si="18"/>
        <v>1</v>
      </c>
      <c r="H129" s="50">
        <f t="shared" si="19"/>
        <v>0</v>
      </c>
      <c r="I129" s="51"/>
      <c r="J129" s="52">
        <f t="shared" si="20"/>
        <v>104387.87437414656</v>
      </c>
      <c r="K129" s="53">
        <f t="shared" si="21"/>
        <v>0</v>
      </c>
      <c r="M129" s="63">
        <f t="shared" si="22"/>
        <v>104.38787437414656</v>
      </c>
      <c r="N129" s="64">
        <f t="shared" si="23"/>
        <v>0</v>
      </c>
    </row>
    <row r="130" spans="1:14" x14ac:dyDescent="0.25">
      <c r="A130" s="1"/>
      <c r="B130" s="29">
        <v>1015515</v>
      </c>
      <c r="C130" s="29">
        <v>3</v>
      </c>
      <c r="D130" s="29">
        <v>316</v>
      </c>
      <c r="E130" s="69">
        <v>2</v>
      </c>
      <c r="F130" s="35">
        <v>3</v>
      </c>
      <c r="G130" s="49">
        <f t="shared" si="18"/>
        <v>1</v>
      </c>
      <c r="H130" s="50">
        <f t="shared" si="19"/>
        <v>0</v>
      </c>
      <c r="I130" s="51"/>
      <c r="J130" s="52">
        <f t="shared" si="20"/>
        <v>104387.87437414656</v>
      </c>
      <c r="K130" s="53">
        <f t="shared" si="21"/>
        <v>0</v>
      </c>
      <c r="M130" s="63">
        <f t="shared" si="22"/>
        <v>104.38787437414656</v>
      </c>
      <c r="N130" s="64">
        <f t="shared" si="23"/>
        <v>0</v>
      </c>
    </row>
    <row r="131" spans="1:14" x14ac:dyDescent="0.25">
      <c r="A131" s="1"/>
      <c r="B131" s="29">
        <v>1015542</v>
      </c>
      <c r="C131" s="29">
        <v>3</v>
      </c>
      <c r="D131" s="29">
        <v>285</v>
      </c>
      <c r="E131" s="69">
        <v>1.85</v>
      </c>
      <c r="F131" s="35">
        <v>2.8</v>
      </c>
      <c r="G131" s="49">
        <f t="shared" si="18"/>
        <v>1.1499999999999999</v>
      </c>
      <c r="H131" s="50">
        <f t="shared" si="19"/>
        <v>0.20000000000000018</v>
      </c>
      <c r="I131" s="51"/>
      <c r="J131" s="52">
        <f t="shared" si="20"/>
        <v>108269.38552571686</v>
      </c>
      <c r="K131" s="53">
        <f t="shared" si="21"/>
        <v>18829.458352298599</v>
      </c>
      <c r="M131" s="63">
        <f t="shared" si="22"/>
        <v>108.26938552571686</v>
      </c>
      <c r="N131" s="64">
        <f t="shared" si="23"/>
        <v>18.829458352298598</v>
      </c>
    </row>
    <row r="132" spans="1:14" x14ac:dyDescent="0.25">
      <c r="A132" s="1"/>
      <c r="B132" s="29">
        <v>1015542</v>
      </c>
      <c r="C132" s="29">
        <v>3</v>
      </c>
      <c r="D132" s="29">
        <v>285</v>
      </c>
      <c r="E132" s="69">
        <v>1.85</v>
      </c>
      <c r="F132" s="35">
        <v>2.8</v>
      </c>
      <c r="G132" s="49">
        <f t="shared" ref="G132:G163" si="24">ABS(E132-C132)</f>
        <v>1.1499999999999999</v>
      </c>
      <c r="H132" s="50">
        <f t="shared" ref="H132:H163" si="25">ABS(F132-C132)</f>
        <v>0.20000000000000018</v>
      </c>
      <c r="I132" s="51"/>
      <c r="J132" s="52">
        <f t="shared" ref="J132:J163" si="26">(((2*(D132/1000)*((C132/1000)^3)*210000000000/(0.0325^3))))*(G132/1000)</f>
        <v>108269.38552571686</v>
      </c>
      <c r="K132" s="53">
        <f t="shared" ref="K132:K163" si="27">(((2*(D132/1000)*((C132/1000)^3)*210000000000/(0.0325^3))))*(H132/1000)</f>
        <v>18829.458352298599</v>
      </c>
      <c r="M132" s="63">
        <f t="shared" ref="M132:M163" si="28">J132/1000</f>
        <v>108.26938552571686</v>
      </c>
      <c r="N132" s="64">
        <f t="shared" ref="N132:N163" si="29">K132/1000</f>
        <v>18.829458352298598</v>
      </c>
    </row>
    <row r="133" spans="1:14" x14ac:dyDescent="0.25">
      <c r="A133" s="1"/>
      <c r="B133" s="29">
        <v>1015542</v>
      </c>
      <c r="C133" s="29">
        <v>3</v>
      </c>
      <c r="D133" s="29">
        <v>285</v>
      </c>
      <c r="E133" s="69">
        <v>1.84</v>
      </c>
      <c r="F133" s="35">
        <v>2.91</v>
      </c>
      <c r="G133" s="49">
        <f t="shared" si="24"/>
        <v>1.1599999999999999</v>
      </c>
      <c r="H133" s="50">
        <f t="shared" si="25"/>
        <v>8.9999999999999858E-2</v>
      </c>
      <c r="I133" s="51"/>
      <c r="J133" s="52">
        <f t="shared" si="26"/>
        <v>109210.85844333179</v>
      </c>
      <c r="K133" s="53">
        <f t="shared" si="27"/>
        <v>8473.2562585343494</v>
      </c>
      <c r="M133" s="63">
        <f t="shared" si="28"/>
        <v>109.21085844333179</v>
      </c>
      <c r="N133" s="64">
        <f t="shared" si="29"/>
        <v>8.4732562585343487</v>
      </c>
    </row>
    <row r="134" spans="1:14" x14ac:dyDescent="0.25">
      <c r="A134" s="1"/>
      <c r="B134" s="29">
        <v>1015511</v>
      </c>
      <c r="C134" s="29">
        <v>3</v>
      </c>
      <c r="D134" s="29">
        <v>332</v>
      </c>
      <c r="E134" s="69">
        <v>1.84</v>
      </c>
      <c r="F134" s="35">
        <v>2.96</v>
      </c>
      <c r="G134" s="49">
        <f t="shared" si="24"/>
        <v>1.1599999999999999</v>
      </c>
      <c r="H134" s="50">
        <f t="shared" si="25"/>
        <v>4.0000000000000036E-2</v>
      </c>
      <c r="I134" s="51"/>
      <c r="J134" s="52">
        <f t="shared" si="26"/>
        <v>127221.0701866181</v>
      </c>
      <c r="K134" s="53">
        <f t="shared" si="27"/>
        <v>4386.9334547109738</v>
      </c>
      <c r="M134" s="63">
        <f t="shared" si="28"/>
        <v>127.22107018661811</v>
      </c>
      <c r="N134" s="64">
        <f t="shared" si="29"/>
        <v>4.3869334547109737</v>
      </c>
    </row>
    <row r="135" spans="1:14" x14ac:dyDescent="0.25">
      <c r="A135" s="1"/>
      <c r="B135" s="29">
        <v>1015511</v>
      </c>
      <c r="C135" s="29">
        <v>3</v>
      </c>
      <c r="D135" s="29">
        <v>332</v>
      </c>
      <c r="E135" s="69">
        <v>1.84</v>
      </c>
      <c r="F135" s="35">
        <v>2.96</v>
      </c>
      <c r="G135" s="49">
        <f t="shared" si="24"/>
        <v>1.1599999999999999</v>
      </c>
      <c r="H135" s="50">
        <f t="shared" si="25"/>
        <v>4.0000000000000036E-2</v>
      </c>
      <c r="I135" s="51"/>
      <c r="J135" s="52">
        <f t="shared" si="26"/>
        <v>127221.0701866181</v>
      </c>
      <c r="K135" s="53">
        <f t="shared" si="27"/>
        <v>4386.9334547109738</v>
      </c>
      <c r="M135" s="63">
        <f t="shared" si="28"/>
        <v>127.22107018661811</v>
      </c>
      <c r="N135" s="64">
        <f t="shared" si="29"/>
        <v>4.3869334547109737</v>
      </c>
    </row>
    <row r="136" spans="1:14" x14ac:dyDescent="0.25">
      <c r="A136" s="1"/>
      <c r="B136" s="29">
        <v>1015517</v>
      </c>
      <c r="C136" s="29">
        <v>3</v>
      </c>
      <c r="D136" s="29">
        <v>355</v>
      </c>
      <c r="E136" s="69">
        <v>1.85</v>
      </c>
      <c r="F136" s="35">
        <v>2.8</v>
      </c>
      <c r="G136" s="49">
        <f t="shared" si="24"/>
        <v>1.1499999999999999</v>
      </c>
      <c r="H136" s="50">
        <f t="shared" si="25"/>
        <v>0.20000000000000018</v>
      </c>
      <c r="I136" s="51"/>
      <c r="J136" s="52">
        <f t="shared" si="26"/>
        <v>134861.8661811561</v>
      </c>
      <c r="K136" s="53">
        <f t="shared" si="27"/>
        <v>23454.237596722818</v>
      </c>
      <c r="M136" s="63">
        <f t="shared" si="28"/>
        <v>134.8618661811561</v>
      </c>
      <c r="N136" s="64">
        <f t="shared" si="29"/>
        <v>23.45423759672282</v>
      </c>
    </row>
    <row r="137" spans="1:14" x14ac:dyDescent="0.25">
      <c r="A137" s="1"/>
      <c r="B137" s="29">
        <v>1015517</v>
      </c>
      <c r="C137" s="29">
        <v>3</v>
      </c>
      <c r="D137" s="29">
        <v>355</v>
      </c>
      <c r="E137" s="69">
        <v>1.85</v>
      </c>
      <c r="F137" s="35">
        <v>2.8</v>
      </c>
      <c r="G137" s="49">
        <f t="shared" si="24"/>
        <v>1.1499999999999999</v>
      </c>
      <c r="H137" s="50">
        <f t="shared" si="25"/>
        <v>0.20000000000000018</v>
      </c>
      <c r="I137" s="51"/>
      <c r="J137" s="52">
        <f t="shared" si="26"/>
        <v>134861.8661811561</v>
      </c>
      <c r="K137" s="53">
        <f t="shared" si="27"/>
        <v>23454.237596722818</v>
      </c>
      <c r="M137" s="63">
        <f t="shared" si="28"/>
        <v>134.8618661811561</v>
      </c>
      <c r="N137" s="64">
        <f t="shared" si="29"/>
        <v>23.45423759672282</v>
      </c>
    </row>
    <row r="138" spans="1:14" x14ac:dyDescent="0.25">
      <c r="A138" s="1"/>
      <c r="B138" s="29">
        <v>1015517</v>
      </c>
      <c r="C138" s="29">
        <v>3</v>
      </c>
      <c r="D138" s="29">
        <v>355</v>
      </c>
      <c r="E138" s="69">
        <v>1.85</v>
      </c>
      <c r="F138" s="35">
        <v>2.85</v>
      </c>
      <c r="G138" s="49">
        <f t="shared" si="24"/>
        <v>1.1499999999999999</v>
      </c>
      <c r="H138" s="50">
        <f t="shared" si="25"/>
        <v>0.14999999999999991</v>
      </c>
      <c r="I138" s="51"/>
      <c r="J138" s="52">
        <f t="shared" si="26"/>
        <v>134861.8661811561</v>
      </c>
      <c r="K138" s="53">
        <f t="shared" si="27"/>
        <v>17590.678197542089</v>
      </c>
      <c r="M138" s="63">
        <f t="shared" si="28"/>
        <v>134.8618661811561</v>
      </c>
      <c r="N138" s="64">
        <f t="shared" si="29"/>
        <v>17.59067819754209</v>
      </c>
    </row>
    <row r="139" spans="1:14" x14ac:dyDescent="0.25">
      <c r="A139" s="1"/>
      <c r="B139" s="29">
        <v>1015512</v>
      </c>
      <c r="C139" s="29">
        <v>3</v>
      </c>
      <c r="D139" s="29">
        <v>345</v>
      </c>
      <c r="E139" s="69">
        <v>1.71</v>
      </c>
      <c r="F139" s="35">
        <v>2.99</v>
      </c>
      <c r="G139" s="49">
        <f t="shared" si="24"/>
        <v>1.29</v>
      </c>
      <c r="H139" s="50">
        <f t="shared" si="25"/>
        <v>9.9999999999997868E-3</v>
      </c>
      <c r="I139" s="51"/>
      <c r="J139" s="52">
        <f t="shared" si="26"/>
        <v>147018.42876649977</v>
      </c>
      <c r="K139" s="53">
        <f t="shared" si="27"/>
        <v>1139.6777423759429</v>
      </c>
      <c r="M139" s="63">
        <f t="shared" si="28"/>
        <v>147.01842876649977</v>
      </c>
      <c r="N139" s="64">
        <f t="shared" si="29"/>
        <v>1.139677742375943</v>
      </c>
    </row>
    <row r="140" spans="1:14" x14ac:dyDescent="0.25">
      <c r="A140" s="1"/>
      <c r="B140" s="29">
        <v>1015512</v>
      </c>
      <c r="C140" s="29">
        <v>3</v>
      </c>
      <c r="D140" s="29">
        <v>345</v>
      </c>
      <c r="E140" s="69">
        <v>1.71</v>
      </c>
      <c r="F140" s="35">
        <v>2.99</v>
      </c>
      <c r="G140" s="49">
        <f t="shared" si="24"/>
        <v>1.29</v>
      </c>
      <c r="H140" s="50">
        <f t="shared" si="25"/>
        <v>9.9999999999997868E-3</v>
      </c>
      <c r="I140" s="51"/>
      <c r="J140" s="52">
        <f t="shared" si="26"/>
        <v>147018.42876649977</v>
      </c>
      <c r="K140" s="53">
        <f t="shared" si="27"/>
        <v>1139.6777423759429</v>
      </c>
      <c r="M140" s="63">
        <f t="shared" si="28"/>
        <v>147.01842876649977</v>
      </c>
      <c r="N140" s="64">
        <f t="shared" si="29"/>
        <v>1.139677742375943</v>
      </c>
    </row>
    <row r="141" spans="1:14" x14ac:dyDescent="0.25">
      <c r="A141" s="1"/>
      <c r="B141" s="29">
        <v>1015512</v>
      </c>
      <c r="C141" s="29">
        <v>3</v>
      </c>
      <c r="D141" s="29">
        <v>345</v>
      </c>
      <c r="E141" s="69">
        <v>1.71</v>
      </c>
      <c r="F141" s="35">
        <v>2.99</v>
      </c>
      <c r="G141" s="49">
        <f t="shared" si="24"/>
        <v>1.29</v>
      </c>
      <c r="H141" s="50">
        <f t="shared" si="25"/>
        <v>9.9999999999997868E-3</v>
      </c>
      <c r="I141" s="51"/>
      <c r="J141" s="52">
        <f t="shared" si="26"/>
        <v>147018.42876649977</v>
      </c>
      <c r="K141" s="53">
        <f t="shared" si="27"/>
        <v>1139.6777423759429</v>
      </c>
      <c r="M141" s="63">
        <f t="shared" si="28"/>
        <v>147.01842876649977</v>
      </c>
      <c r="N141" s="64">
        <f t="shared" si="29"/>
        <v>1.139677742375943</v>
      </c>
    </row>
    <row r="142" spans="1:14" x14ac:dyDescent="0.25">
      <c r="A142" s="1"/>
      <c r="B142" s="29">
        <v>1015512</v>
      </c>
      <c r="C142" s="29">
        <v>3</v>
      </c>
      <c r="D142" s="29">
        <v>345</v>
      </c>
      <c r="E142" s="69">
        <v>1.71</v>
      </c>
      <c r="F142" s="35">
        <v>2.99</v>
      </c>
      <c r="G142" s="49">
        <f t="shared" si="24"/>
        <v>1.29</v>
      </c>
      <c r="H142" s="50">
        <f t="shared" si="25"/>
        <v>9.9999999999997868E-3</v>
      </c>
      <c r="I142" s="51"/>
      <c r="J142" s="52">
        <f t="shared" si="26"/>
        <v>147018.42876649977</v>
      </c>
      <c r="K142" s="53">
        <f t="shared" si="27"/>
        <v>1139.6777423759429</v>
      </c>
      <c r="M142" s="63">
        <f t="shared" si="28"/>
        <v>147.01842876649977</v>
      </c>
      <c r="N142" s="64">
        <f t="shared" si="29"/>
        <v>1.139677742375943</v>
      </c>
    </row>
    <row r="143" spans="1:14" x14ac:dyDescent="0.25">
      <c r="A143" s="1"/>
      <c r="B143" s="29">
        <v>1015512</v>
      </c>
      <c r="C143" s="29">
        <v>3</v>
      </c>
      <c r="D143" s="29">
        <v>345</v>
      </c>
      <c r="E143" s="69">
        <v>1.71</v>
      </c>
      <c r="F143" s="35">
        <v>2.99</v>
      </c>
      <c r="G143" s="49">
        <f t="shared" si="24"/>
        <v>1.29</v>
      </c>
      <c r="H143" s="50">
        <f t="shared" si="25"/>
        <v>9.9999999999997868E-3</v>
      </c>
      <c r="I143" s="51"/>
      <c r="J143" s="52">
        <f t="shared" si="26"/>
        <v>147018.42876649977</v>
      </c>
      <c r="K143" s="53">
        <f t="shared" si="27"/>
        <v>1139.6777423759429</v>
      </c>
      <c r="M143" s="63">
        <f t="shared" si="28"/>
        <v>147.01842876649977</v>
      </c>
      <c r="N143" s="64">
        <f t="shared" si="29"/>
        <v>1.139677742375943</v>
      </c>
    </row>
    <row r="144" spans="1:14" x14ac:dyDescent="0.25">
      <c r="A144" s="1"/>
      <c r="B144" s="29">
        <v>1015512</v>
      </c>
      <c r="C144" s="29">
        <v>3</v>
      </c>
      <c r="D144" s="29">
        <v>345</v>
      </c>
      <c r="E144" s="69">
        <v>1.71</v>
      </c>
      <c r="F144" s="35">
        <v>2.99</v>
      </c>
      <c r="G144" s="49">
        <f t="shared" si="24"/>
        <v>1.29</v>
      </c>
      <c r="H144" s="50">
        <f t="shared" si="25"/>
        <v>9.9999999999997868E-3</v>
      </c>
      <c r="I144" s="51"/>
      <c r="J144" s="52">
        <f t="shared" si="26"/>
        <v>147018.42876649977</v>
      </c>
      <c r="K144" s="53">
        <f t="shared" si="27"/>
        <v>1139.6777423759429</v>
      </c>
      <c r="M144" s="63">
        <f t="shared" si="28"/>
        <v>147.01842876649977</v>
      </c>
      <c r="N144" s="64">
        <f t="shared" si="29"/>
        <v>1.139677742375943</v>
      </c>
    </row>
    <row r="145" spans="1:14" x14ac:dyDescent="0.25">
      <c r="A145" s="1"/>
      <c r="B145" s="29">
        <v>1015512</v>
      </c>
      <c r="C145" s="29">
        <v>3</v>
      </c>
      <c r="D145" s="29">
        <v>345</v>
      </c>
      <c r="E145" s="69">
        <v>1.71</v>
      </c>
      <c r="F145" s="35">
        <v>2.99</v>
      </c>
      <c r="G145" s="49">
        <f t="shared" si="24"/>
        <v>1.29</v>
      </c>
      <c r="H145" s="50">
        <f t="shared" si="25"/>
        <v>9.9999999999997868E-3</v>
      </c>
      <c r="I145" s="51"/>
      <c r="J145" s="52">
        <f t="shared" si="26"/>
        <v>147018.42876649977</v>
      </c>
      <c r="K145" s="53">
        <f t="shared" si="27"/>
        <v>1139.6777423759429</v>
      </c>
      <c r="M145" s="63">
        <f t="shared" si="28"/>
        <v>147.01842876649977</v>
      </c>
      <c r="N145" s="64">
        <f t="shared" si="29"/>
        <v>1.139677742375943</v>
      </c>
    </row>
    <row r="146" spans="1:14" x14ac:dyDescent="0.25">
      <c r="A146" s="1"/>
      <c r="B146" s="29">
        <v>1015512</v>
      </c>
      <c r="C146" s="29">
        <v>3</v>
      </c>
      <c r="D146" s="29">
        <v>345</v>
      </c>
      <c r="E146" s="69">
        <v>1.71</v>
      </c>
      <c r="F146" s="35">
        <v>2.99</v>
      </c>
      <c r="G146" s="49">
        <f t="shared" si="24"/>
        <v>1.29</v>
      </c>
      <c r="H146" s="50">
        <f t="shared" si="25"/>
        <v>9.9999999999997868E-3</v>
      </c>
      <c r="I146" s="51"/>
      <c r="J146" s="52">
        <f t="shared" si="26"/>
        <v>147018.42876649977</v>
      </c>
      <c r="K146" s="53">
        <f t="shared" si="27"/>
        <v>1139.6777423759429</v>
      </c>
      <c r="M146" s="63">
        <f t="shared" si="28"/>
        <v>147.01842876649977</v>
      </c>
      <c r="N146" s="64">
        <f t="shared" si="29"/>
        <v>1.139677742375943</v>
      </c>
    </row>
    <row r="147" spans="1:14" x14ac:dyDescent="0.25">
      <c r="A147" s="1"/>
      <c r="B147" s="29">
        <v>1015512</v>
      </c>
      <c r="C147" s="29">
        <v>3</v>
      </c>
      <c r="D147" s="29">
        <v>345</v>
      </c>
      <c r="E147" s="69">
        <v>1.71</v>
      </c>
      <c r="F147" s="35">
        <v>2.99</v>
      </c>
      <c r="G147" s="49">
        <f t="shared" si="24"/>
        <v>1.29</v>
      </c>
      <c r="H147" s="50">
        <f t="shared" si="25"/>
        <v>9.9999999999997868E-3</v>
      </c>
      <c r="I147" s="51"/>
      <c r="J147" s="52">
        <f t="shared" si="26"/>
        <v>147018.42876649977</v>
      </c>
      <c r="K147" s="53">
        <f t="shared" si="27"/>
        <v>1139.6777423759429</v>
      </c>
      <c r="M147" s="63">
        <f t="shared" si="28"/>
        <v>147.01842876649977</v>
      </c>
      <c r="N147" s="64">
        <f t="shared" si="29"/>
        <v>1.139677742375943</v>
      </c>
    </row>
    <row r="148" spans="1:14" x14ac:dyDescent="0.25">
      <c r="A148" s="1"/>
      <c r="B148" s="29">
        <v>1015512</v>
      </c>
      <c r="C148" s="29">
        <v>3</v>
      </c>
      <c r="D148" s="29">
        <v>345</v>
      </c>
      <c r="E148" s="69">
        <v>1.71</v>
      </c>
      <c r="F148" s="35">
        <v>2.99</v>
      </c>
      <c r="G148" s="49">
        <f t="shared" si="24"/>
        <v>1.29</v>
      </c>
      <c r="H148" s="50">
        <f t="shared" si="25"/>
        <v>9.9999999999997868E-3</v>
      </c>
      <c r="I148" s="51"/>
      <c r="J148" s="52">
        <f t="shared" si="26"/>
        <v>147018.42876649977</v>
      </c>
      <c r="K148" s="53">
        <f t="shared" si="27"/>
        <v>1139.6777423759429</v>
      </c>
      <c r="M148" s="63">
        <f t="shared" si="28"/>
        <v>147.01842876649977</v>
      </c>
      <c r="N148" s="64">
        <f t="shared" si="29"/>
        <v>1.139677742375943</v>
      </c>
    </row>
    <row r="149" spans="1:14" x14ac:dyDescent="0.25">
      <c r="A149" s="1"/>
      <c r="B149" s="29">
        <v>1015512</v>
      </c>
      <c r="C149" s="29">
        <v>3</v>
      </c>
      <c r="D149" s="29">
        <v>345</v>
      </c>
      <c r="E149" s="69">
        <v>1.71</v>
      </c>
      <c r="F149" s="35">
        <v>2.99</v>
      </c>
      <c r="G149" s="49">
        <f t="shared" si="24"/>
        <v>1.29</v>
      </c>
      <c r="H149" s="50">
        <f t="shared" si="25"/>
        <v>9.9999999999997868E-3</v>
      </c>
      <c r="I149" s="51"/>
      <c r="J149" s="52">
        <f t="shared" si="26"/>
        <v>147018.42876649977</v>
      </c>
      <c r="K149" s="53">
        <f t="shared" si="27"/>
        <v>1139.6777423759429</v>
      </c>
      <c r="M149" s="63">
        <f t="shared" si="28"/>
        <v>147.01842876649977</v>
      </c>
      <c r="N149" s="64">
        <f t="shared" si="29"/>
        <v>1.139677742375943</v>
      </c>
    </row>
    <row r="150" spans="1:14" x14ac:dyDescent="0.25">
      <c r="A150" s="1"/>
      <c r="B150" s="29">
        <v>1015512</v>
      </c>
      <c r="C150" s="29">
        <v>3</v>
      </c>
      <c r="D150" s="29">
        <v>345</v>
      </c>
      <c r="E150" s="69">
        <v>1.71</v>
      </c>
      <c r="F150" s="35">
        <v>2.99</v>
      </c>
      <c r="G150" s="49">
        <f t="shared" si="24"/>
        <v>1.29</v>
      </c>
      <c r="H150" s="50">
        <f t="shared" si="25"/>
        <v>9.9999999999997868E-3</v>
      </c>
      <c r="I150" s="51"/>
      <c r="J150" s="52">
        <f t="shared" si="26"/>
        <v>147018.42876649977</v>
      </c>
      <c r="K150" s="53">
        <f t="shared" si="27"/>
        <v>1139.6777423759429</v>
      </c>
      <c r="M150" s="63">
        <f t="shared" si="28"/>
        <v>147.01842876649977</v>
      </c>
      <c r="N150" s="64">
        <f t="shared" si="29"/>
        <v>1.139677742375943</v>
      </c>
    </row>
    <row r="151" spans="1:14" x14ac:dyDescent="0.25">
      <c r="A151" s="1"/>
      <c r="B151" s="29">
        <v>1015512</v>
      </c>
      <c r="C151" s="29">
        <v>3</v>
      </c>
      <c r="D151" s="29">
        <v>345</v>
      </c>
      <c r="E151" s="69">
        <v>1.71</v>
      </c>
      <c r="F151" s="35">
        <v>2.99</v>
      </c>
      <c r="G151" s="49">
        <f t="shared" si="24"/>
        <v>1.29</v>
      </c>
      <c r="H151" s="50">
        <f t="shared" si="25"/>
        <v>9.9999999999997868E-3</v>
      </c>
      <c r="I151" s="51"/>
      <c r="J151" s="52">
        <f t="shared" si="26"/>
        <v>147018.42876649977</v>
      </c>
      <c r="K151" s="53">
        <f t="shared" si="27"/>
        <v>1139.6777423759429</v>
      </c>
      <c r="M151" s="63">
        <f t="shared" si="28"/>
        <v>147.01842876649977</v>
      </c>
      <c r="N151" s="64">
        <f t="shared" si="29"/>
        <v>1.139677742375943</v>
      </c>
    </row>
    <row r="152" spans="1:14" x14ac:dyDescent="0.25">
      <c r="A152" s="1"/>
      <c r="B152" s="29">
        <v>1015512</v>
      </c>
      <c r="C152" s="29">
        <v>3</v>
      </c>
      <c r="D152" s="29">
        <v>345</v>
      </c>
      <c r="E152" s="69">
        <v>1.71</v>
      </c>
      <c r="F152" s="35">
        <v>3</v>
      </c>
      <c r="G152" s="49">
        <f t="shared" si="24"/>
        <v>1.29</v>
      </c>
      <c r="H152" s="50">
        <f t="shared" si="25"/>
        <v>0</v>
      </c>
      <c r="I152" s="51"/>
      <c r="J152" s="52">
        <f t="shared" si="26"/>
        <v>147018.42876649977</v>
      </c>
      <c r="K152" s="53">
        <f t="shared" si="27"/>
        <v>0</v>
      </c>
      <c r="M152" s="63">
        <f t="shared" si="28"/>
        <v>147.01842876649977</v>
      </c>
      <c r="N152" s="64">
        <f t="shared" si="29"/>
        <v>0</v>
      </c>
    </row>
    <row r="153" spans="1:14" x14ac:dyDescent="0.25">
      <c r="A153" s="1"/>
      <c r="B153" s="29">
        <v>1015512</v>
      </c>
      <c r="C153" s="29">
        <v>3</v>
      </c>
      <c r="D153" s="29">
        <v>345</v>
      </c>
      <c r="E153" s="69">
        <v>1.71</v>
      </c>
      <c r="F153" s="35">
        <v>3</v>
      </c>
      <c r="G153" s="49">
        <f t="shared" si="24"/>
        <v>1.29</v>
      </c>
      <c r="H153" s="50">
        <f t="shared" si="25"/>
        <v>0</v>
      </c>
      <c r="I153" s="51"/>
      <c r="J153" s="52">
        <f t="shared" si="26"/>
        <v>147018.42876649977</v>
      </c>
      <c r="K153" s="53">
        <f t="shared" si="27"/>
        <v>0</v>
      </c>
      <c r="M153" s="63">
        <f t="shared" si="28"/>
        <v>147.01842876649977</v>
      </c>
      <c r="N153" s="64">
        <f t="shared" si="29"/>
        <v>0</v>
      </c>
    </row>
    <row r="154" spans="1:14" x14ac:dyDescent="0.25">
      <c r="A154" s="1"/>
      <c r="B154" s="29">
        <v>1015512</v>
      </c>
      <c r="C154" s="29">
        <v>3</v>
      </c>
      <c r="D154" s="29">
        <v>345</v>
      </c>
      <c r="E154" s="69">
        <v>1.71</v>
      </c>
      <c r="F154" s="35">
        <v>3</v>
      </c>
      <c r="G154" s="49">
        <f t="shared" si="24"/>
        <v>1.29</v>
      </c>
      <c r="H154" s="50">
        <f t="shared" si="25"/>
        <v>0</v>
      </c>
      <c r="I154" s="51"/>
      <c r="J154" s="52">
        <f t="shared" si="26"/>
        <v>147018.42876649977</v>
      </c>
      <c r="K154" s="53">
        <f t="shared" si="27"/>
        <v>0</v>
      </c>
      <c r="M154" s="63">
        <f t="shared" si="28"/>
        <v>147.01842876649977</v>
      </c>
      <c r="N154" s="64">
        <f t="shared" si="29"/>
        <v>0</v>
      </c>
    </row>
    <row r="155" spans="1:14" x14ac:dyDescent="0.25">
      <c r="A155" s="1"/>
      <c r="B155" s="29">
        <v>1015512</v>
      </c>
      <c r="C155" s="29">
        <v>3</v>
      </c>
      <c r="D155" s="29">
        <v>345</v>
      </c>
      <c r="E155" s="69">
        <v>1.71</v>
      </c>
      <c r="F155" s="35">
        <v>3</v>
      </c>
      <c r="G155" s="49">
        <f t="shared" si="24"/>
        <v>1.29</v>
      </c>
      <c r="H155" s="50">
        <f t="shared" si="25"/>
        <v>0</v>
      </c>
      <c r="I155" s="51"/>
      <c r="J155" s="52">
        <f t="shared" si="26"/>
        <v>147018.42876649977</v>
      </c>
      <c r="K155" s="53">
        <f t="shared" si="27"/>
        <v>0</v>
      </c>
      <c r="M155" s="63">
        <f t="shared" si="28"/>
        <v>147.01842876649977</v>
      </c>
      <c r="N155" s="64">
        <f t="shared" si="29"/>
        <v>0</v>
      </c>
    </row>
    <row r="156" spans="1:14" x14ac:dyDescent="0.25">
      <c r="A156" s="1"/>
      <c r="B156" s="29">
        <v>1015512</v>
      </c>
      <c r="C156" s="29">
        <v>3</v>
      </c>
      <c r="D156" s="29">
        <v>345</v>
      </c>
      <c r="E156" s="69">
        <v>1.71</v>
      </c>
      <c r="F156" s="35">
        <v>3</v>
      </c>
      <c r="G156" s="49">
        <f t="shared" si="24"/>
        <v>1.29</v>
      </c>
      <c r="H156" s="50">
        <f t="shared" si="25"/>
        <v>0</v>
      </c>
      <c r="I156" s="51"/>
      <c r="J156" s="52">
        <f t="shared" si="26"/>
        <v>147018.42876649977</v>
      </c>
      <c r="K156" s="53">
        <f t="shared" si="27"/>
        <v>0</v>
      </c>
      <c r="M156" s="63">
        <f t="shared" si="28"/>
        <v>147.01842876649977</v>
      </c>
      <c r="N156" s="64">
        <f t="shared" si="29"/>
        <v>0</v>
      </c>
    </row>
    <row r="157" spans="1:14" x14ac:dyDescent="0.25">
      <c r="A157" s="1"/>
      <c r="B157" s="29">
        <v>1015512</v>
      </c>
      <c r="C157" s="29">
        <v>3</v>
      </c>
      <c r="D157" s="29">
        <v>345</v>
      </c>
      <c r="E157" s="69">
        <v>1.71</v>
      </c>
      <c r="F157" s="35">
        <v>3</v>
      </c>
      <c r="G157" s="49">
        <f t="shared" si="24"/>
        <v>1.29</v>
      </c>
      <c r="H157" s="50">
        <f t="shared" si="25"/>
        <v>0</v>
      </c>
      <c r="I157" s="51"/>
      <c r="J157" s="52">
        <f t="shared" si="26"/>
        <v>147018.42876649977</v>
      </c>
      <c r="K157" s="53">
        <f t="shared" si="27"/>
        <v>0</v>
      </c>
      <c r="M157" s="63">
        <f t="shared" si="28"/>
        <v>147.01842876649977</v>
      </c>
      <c r="N157" s="64">
        <f t="shared" si="29"/>
        <v>0</v>
      </c>
    </row>
    <row r="158" spans="1:14" x14ac:dyDescent="0.25">
      <c r="A158" s="1"/>
      <c r="B158" s="29">
        <v>1015515</v>
      </c>
      <c r="C158" s="29">
        <v>3</v>
      </c>
      <c r="D158" s="29">
        <v>316</v>
      </c>
      <c r="E158" s="69">
        <v>1.51</v>
      </c>
      <c r="F158" s="35">
        <v>2.96</v>
      </c>
      <c r="G158" s="49">
        <f t="shared" si="24"/>
        <v>1.49</v>
      </c>
      <c r="H158" s="50">
        <f t="shared" si="25"/>
        <v>4.0000000000000036E-2</v>
      </c>
      <c r="I158" s="51"/>
      <c r="J158" s="52">
        <f t="shared" si="26"/>
        <v>155537.93281747837</v>
      </c>
      <c r="K158" s="53">
        <f t="shared" si="27"/>
        <v>4175.5149749658658</v>
      </c>
      <c r="M158" s="63">
        <f t="shared" si="28"/>
        <v>155.53793281747838</v>
      </c>
      <c r="N158" s="64">
        <f t="shared" si="29"/>
        <v>4.175514974965866</v>
      </c>
    </row>
    <row r="159" spans="1:14" x14ac:dyDescent="0.25">
      <c r="A159" s="1"/>
      <c r="B159" s="29">
        <v>1015515</v>
      </c>
      <c r="C159" s="29">
        <v>3</v>
      </c>
      <c r="D159" s="29">
        <v>316</v>
      </c>
      <c r="E159" s="69">
        <v>1.51</v>
      </c>
      <c r="F159" s="35">
        <v>2.96</v>
      </c>
      <c r="G159" s="49">
        <f t="shared" si="24"/>
        <v>1.49</v>
      </c>
      <c r="H159" s="50">
        <f t="shared" si="25"/>
        <v>4.0000000000000036E-2</v>
      </c>
      <c r="I159" s="51"/>
      <c r="J159" s="52">
        <f t="shared" si="26"/>
        <v>155537.93281747837</v>
      </c>
      <c r="K159" s="53">
        <f t="shared" si="27"/>
        <v>4175.5149749658658</v>
      </c>
      <c r="M159" s="63">
        <f t="shared" si="28"/>
        <v>155.53793281747838</v>
      </c>
      <c r="N159" s="64">
        <f t="shared" si="29"/>
        <v>4.175514974965866</v>
      </c>
    </row>
    <row r="160" spans="1:14" x14ac:dyDescent="0.25">
      <c r="A160" s="1"/>
      <c r="B160" s="29">
        <v>1015515</v>
      </c>
      <c r="C160" s="29">
        <v>3</v>
      </c>
      <c r="D160" s="29">
        <v>316</v>
      </c>
      <c r="E160" s="69">
        <v>1.46</v>
      </c>
      <c r="F160" s="35">
        <v>3.04</v>
      </c>
      <c r="G160" s="49">
        <f t="shared" si="24"/>
        <v>1.54</v>
      </c>
      <c r="H160" s="50">
        <f t="shared" si="25"/>
        <v>4.0000000000000036E-2</v>
      </c>
      <c r="I160" s="51"/>
      <c r="J160" s="52">
        <f t="shared" si="26"/>
        <v>160757.32653618569</v>
      </c>
      <c r="K160" s="53">
        <f t="shared" si="27"/>
        <v>4175.5149749658658</v>
      </c>
      <c r="M160" s="63">
        <f t="shared" si="28"/>
        <v>160.7573265361857</v>
      </c>
      <c r="N160" s="64">
        <f t="shared" si="29"/>
        <v>4.175514974965866</v>
      </c>
    </row>
    <row r="161" spans="1:14" x14ac:dyDescent="0.25">
      <c r="A161" s="1"/>
      <c r="B161" s="29">
        <v>1015515</v>
      </c>
      <c r="C161" s="29">
        <v>3</v>
      </c>
      <c r="D161" s="29">
        <v>316</v>
      </c>
      <c r="E161" s="69">
        <v>1.46</v>
      </c>
      <c r="F161" s="35">
        <v>3.04</v>
      </c>
      <c r="G161" s="49">
        <f t="shared" si="24"/>
        <v>1.54</v>
      </c>
      <c r="H161" s="50">
        <f t="shared" si="25"/>
        <v>4.0000000000000036E-2</v>
      </c>
      <c r="I161" s="51"/>
      <c r="J161" s="52">
        <f t="shared" si="26"/>
        <v>160757.32653618569</v>
      </c>
      <c r="K161" s="53">
        <f t="shared" si="27"/>
        <v>4175.5149749658658</v>
      </c>
      <c r="M161" s="63">
        <f t="shared" si="28"/>
        <v>160.7573265361857</v>
      </c>
      <c r="N161" s="64">
        <f t="shared" si="29"/>
        <v>4.175514974965866</v>
      </c>
    </row>
    <row r="162" spans="1:14" x14ac:dyDescent="0.25">
      <c r="A162" s="1"/>
      <c r="B162" s="29">
        <v>1015544</v>
      </c>
      <c r="C162" s="29">
        <v>3</v>
      </c>
      <c r="D162" s="29">
        <v>388</v>
      </c>
      <c r="E162" s="69">
        <v>1.61</v>
      </c>
      <c r="F162" s="35">
        <v>2.96</v>
      </c>
      <c r="G162" s="49">
        <f t="shared" si="24"/>
        <v>1.39</v>
      </c>
      <c r="H162" s="50">
        <f t="shared" si="25"/>
        <v>4.0000000000000036E-2</v>
      </c>
      <c r="I162" s="51"/>
      <c r="J162" s="52">
        <f t="shared" si="26"/>
        <v>178159.7101502048</v>
      </c>
      <c r="K162" s="53">
        <f t="shared" si="27"/>
        <v>5126.8981338188478</v>
      </c>
      <c r="M162" s="63">
        <f t="shared" si="28"/>
        <v>178.1597101502048</v>
      </c>
      <c r="N162" s="64">
        <f t="shared" si="29"/>
        <v>5.1268981338188482</v>
      </c>
    </row>
    <row r="163" spans="1:14" x14ac:dyDescent="0.25">
      <c r="A163" s="1"/>
      <c r="B163" s="29">
        <v>1015544</v>
      </c>
      <c r="C163" s="29">
        <v>3</v>
      </c>
      <c r="D163" s="29">
        <v>388</v>
      </c>
      <c r="E163" s="69">
        <v>1.61</v>
      </c>
      <c r="F163" s="35">
        <v>2.96</v>
      </c>
      <c r="G163" s="49">
        <f t="shared" si="24"/>
        <v>1.39</v>
      </c>
      <c r="H163" s="50">
        <f t="shared" si="25"/>
        <v>4.0000000000000036E-2</v>
      </c>
      <c r="I163" s="51"/>
      <c r="J163" s="52">
        <f t="shared" si="26"/>
        <v>178159.7101502048</v>
      </c>
      <c r="K163" s="53">
        <f t="shared" si="27"/>
        <v>5126.8981338188478</v>
      </c>
      <c r="M163" s="63">
        <f t="shared" si="28"/>
        <v>178.1597101502048</v>
      </c>
      <c r="N163" s="64">
        <f t="shared" si="29"/>
        <v>5.1268981338188482</v>
      </c>
    </row>
    <row r="164" spans="1:14" x14ac:dyDescent="0.25">
      <c r="A164" s="1"/>
      <c r="B164" s="29">
        <v>1015544</v>
      </c>
      <c r="C164" s="29">
        <v>3</v>
      </c>
      <c r="D164" s="29">
        <v>388</v>
      </c>
      <c r="E164" s="69">
        <v>1.61</v>
      </c>
      <c r="F164" s="35">
        <v>2.96</v>
      </c>
      <c r="G164" s="49">
        <f t="shared" ref="G164:G184" si="30">ABS(E164-C164)</f>
        <v>1.39</v>
      </c>
      <c r="H164" s="50">
        <f t="shared" ref="H164:H184" si="31">ABS(F164-C164)</f>
        <v>4.0000000000000036E-2</v>
      </c>
      <c r="I164" s="51"/>
      <c r="J164" s="52">
        <f t="shared" ref="J164:J184" si="32">(((2*(D164/1000)*((C164/1000)^3)*210000000000/(0.0325^3))))*(G164/1000)</f>
        <v>178159.7101502048</v>
      </c>
      <c r="K164" s="53">
        <f t="shared" ref="K164:K184" si="33">(((2*(D164/1000)*((C164/1000)^3)*210000000000/(0.0325^3))))*(H164/1000)</f>
        <v>5126.8981338188478</v>
      </c>
      <c r="M164" s="63">
        <f t="shared" ref="M164:M184" si="34">J164/1000</f>
        <v>178.1597101502048</v>
      </c>
      <c r="N164" s="64">
        <f t="shared" ref="N164:N184" si="35">K164/1000</f>
        <v>5.1268981338188482</v>
      </c>
    </row>
    <row r="165" spans="1:14" x14ac:dyDescent="0.25">
      <c r="A165" s="1"/>
      <c r="B165" s="29">
        <v>1015544</v>
      </c>
      <c r="C165" s="29">
        <v>3</v>
      </c>
      <c r="D165" s="29">
        <v>388</v>
      </c>
      <c r="E165" s="69">
        <v>1.61</v>
      </c>
      <c r="F165" s="35">
        <v>2.96</v>
      </c>
      <c r="G165" s="49">
        <f t="shared" si="30"/>
        <v>1.39</v>
      </c>
      <c r="H165" s="50">
        <f t="shared" si="31"/>
        <v>4.0000000000000036E-2</v>
      </c>
      <c r="I165" s="51"/>
      <c r="J165" s="52">
        <f t="shared" si="32"/>
        <v>178159.7101502048</v>
      </c>
      <c r="K165" s="53">
        <f t="shared" si="33"/>
        <v>5126.8981338188478</v>
      </c>
      <c r="M165" s="63">
        <f t="shared" si="34"/>
        <v>178.1597101502048</v>
      </c>
      <c r="N165" s="64">
        <f t="shared" si="35"/>
        <v>5.1268981338188482</v>
      </c>
    </row>
    <row r="166" spans="1:14" x14ac:dyDescent="0.25">
      <c r="A166" s="1"/>
      <c r="B166" s="29">
        <v>1015544</v>
      </c>
      <c r="C166" s="29">
        <v>3</v>
      </c>
      <c r="D166" s="29">
        <v>388</v>
      </c>
      <c r="E166" s="69">
        <v>1.6</v>
      </c>
      <c r="F166" s="35">
        <v>2.95</v>
      </c>
      <c r="G166" s="49">
        <f t="shared" si="30"/>
        <v>1.4</v>
      </c>
      <c r="H166" s="50">
        <f t="shared" si="31"/>
        <v>4.9999999999999822E-2</v>
      </c>
      <c r="I166" s="51"/>
      <c r="J166" s="52">
        <f t="shared" si="32"/>
        <v>179441.43468365952</v>
      </c>
      <c r="K166" s="53">
        <f t="shared" si="33"/>
        <v>6408.6226672735311</v>
      </c>
      <c r="M166" s="63">
        <f t="shared" si="34"/>
        <v>179.44143468365951</v>
      </c>
      <c r="N166" s="64">
        <f t="shared" si="35"/>
        <v>6.4086226672735309</v>
      </c>
    </row>
    <row r="167" spans="1:14" x14ac:dyDescent="0.25">
      <c r="A167" s="1"/>
      <c r="B167" s="29">
        <v>1015544</v>
      </c>
      <c r="C167" s="29">
        <v>3</v>
      </c>
      <c r="D167" s="29">
        <v>388</v>
      </c>
      <c r="E167" s="69">
        <v>1.59</v>
      </c>
      <c r="F167" s="35">
        <v>2.84</v>
      </c>
      <c r="G167" s="49">
        <f t="shared" si="30"/>
        <v>1.41</v>
      </c>
      <c r="H167" s="50">
        <f t="shared" si="31"/>
        <v>0.16000000000000014</v>
      </c>
      <c r="I167" s="51"/>
      <c r="J167" s="52">
        <f t="shared" si="32"/>
        <v>180723.15921711424</v>
      </c>
      <c r="K167" s="53">
        <f t="shared" si="33"/>
        <v>20507.592535275391</v>
      </c>
      <c r="M167" s="63">
        <f t="shared" si="34"/>
        <v>180.72315921711424</v>
      </c>
      <c r="N167" s="64">
        <f t="shared" si="35"/>
        <v>20.507592535275393</v>
      </c>
    </row>
    <row r="168" spans="1:14" x14ac:dyDescent="0.25">
      <c r="A168" s="1"/>
      <c r="B168" s="29">
        <v>1015544</v>
      </c>
      <c r="C168" s="29">
        <v>3</v>
      </c>
      <c r="D168" s="29">
        <v>388</v>
      </c>
      <c r="E168" s="69">
        <v>1.59</v>
      </c>
      <c r="F168" s="35">
        <v>2.84</v>
      </c>
      <c r="G168" s="49">
        <f t="shared" si="30"/>
        <v>1.41</v>
      </c>
      <c r="H168" s="50">
        <f t="shared" si="31"/>
        <v>0.16000000000000014</v>
      </c>
      <c r="I168" s="51"/>
      <c r="J168" s="52">
        <f t="shared" si="32"/>
        <v>180723.15921711424</v>
      </c>
      <c r="K168" s="53">
        <f t="shared" si="33"/>
        <v>20507.592535275391</v>
      </c>
      <c r="M168" s="63">
        <f t="shared" si="34"/>
        <v>180.72315921711424</v>
      </c>
      <c r="N168" s="64">
        <f t="shared" si="35"/>
        <v>20.507592535275393</v>
      </c>
    </row>
    <row r="169" spans="1:14" x14ac:dyDescent="0.25">
      <c r="A169" s="1"/>
      <c r="B169" s="29">
        <v>1015544</v>
      </c>
      <c r="C169" s="29">
        <v>3</v>
      </c>
      <c r="D169" s="29">
        <v>388</v>
      </c>
      <c r="E169" s="69">
        <v>1.59</v>
      </c>
      <c r="F169" s="35">
        <v>2.95</v>
      </c>
      <c r="G169" s="49">
        <f t="shared" si="30"/>
        <v>1.41</v>
      </c>
      <c r="H169" s="50">
        <f t="shared" si="31"/>
        <v>4.9999999999999822E-2</v>
      </c>
      <c r="I169" s="51"/>
      <c r="J169" s="52">
        <f t="shared" si="32"/>
        <v>180723.15921711424</v>
      </c>
      <c r="K169" s="53">
        <f t="shared" si="33"/>
        <v>6408.6226672735311</v>
      </c>
      <c r="M169" s="63">
        <f t="shared" si="34"/>
        <v>180.72315921711424</v>
      </c>
      <c r="N169" s="64">
        <f t="shared" si="35"/>
        <v>6.4086226672735309</v>
      </c>
    </row>
    <row r="170" spans="1:14" x14ac:dyDescent="0.25">
      <c r="A170" s="1"/>
      <c r="B170" s="29">
        <v>1020786</v>
      </c>
      <c r="C170" s="29">
        <v>4</v>
      </c>
      <c r="D170" s="29">
        <v>270</v>
      </c>
      <c r="E170" s="69">
        <v>2.96</v>
      </c>
      <c r="F170" s="35">
        <v>3.39</v>
      </c>
      <c r="G170" s="49">
        <f t="shared" si="30"/>
        <v>1.04</v>
      </c>
      <c r="H170" s="50">
        <f t="shared" si="31"/>
        <v>0.60999999999999988</v>
      </c>
      <c r="I170" s="51"/>
      <c r="J170" s="52">
        <f t="shared" si="32"/>
        <v>219875.2189349113</v>
      </c>
      <c r="K170" s="53">
        <f t="shared" si="33"/>
        <v>128965.27264451524</v>
      </c>
      <c r="M170" s="63">
        <f t="shared" si="34"/>
        <v>219.87521893491132</v>
      </c>
      <c r="N170" s="64">
        <f t="shared" si="35"/>
        <v>128.96527264451524</v>
      </c>
    </row>
    <row r="171" spans="1:14" x14ac:dyDescent="0.25">
      <c r="A171" s="1"/>
      <c r="B171" s="29">
        <v>1020786</v>
      </c>
      <c r="C171" s="29">
        <v>4</v>
      </c>
      <c r="D171" s="29">
        <v>270</v>
      </c>
      <c r="E171" s="69">
        <v>2.96</v>
      </c>
      <c r="F171" s="35">
        <v>3.39</v>
      </c>
      <c r="G171" s="49">
        <f t="shared" si="30"/>
        <v>1.04</v>
      </c>
      <c r="H171" s="50">
        <f t="shared" si="31"/>
        <v>0.60999999999999988</v>
      </c>
      <c r="I171" s="51"/>
      <c r="J171" s="52">
        <f t="shared" si="32"/>
        <v>219875.2189349113</v>
      </c>
      <c r="K171" s="53">
        <f t="shared" si="33"/>
        <v>128965.27264451524</v>
      </c>
      <c r="M171" s="63">
        <f t="shared" si="34"/>
        <v>219.87521893491132</v>
      </c>
      <c r="N171" s="64">
        <f t="shared" si="35"/>
        <v>128.96527264451524</v>
      </c>
    </row>
    <row r="172" spans="1:14" x14ac:dyDescent="0.25">
      <c r="A172" s="1"/>
      <c r="B172" s="29">
        <v>1020786</v>
      </c>
      <c r="C172" s="29">
        <v>4</v>
      </c>
      <c r="D172" s="29">
        <v>270</v>
      </c>
      <c r="E172" s="69">
        <v>2.96</v>
      </c>
      <c r="F172" s="35">
        <v>3.39</v>
      </c>
      <c r="G172" s="49">
        <f t="shared" si="30"/>
        <v>1.04</v>
      </c>
      <c r="H172" s="50">
        <f t="shared" si="31"/>
        <v>0.60999999999999988</v>
      </c>
      <c r="I172" s="51"/>
      <c r="J172" s="52">
        <f t="shared" si="32"/>
        <v>219875.2189349113</v>
      </c>
      <c r="K172" s="53">
        <f t="shared" si="33"/>
        <v>128965.27264451524</v>
      </c>
      <c r="M172" s="63">
        <f t="shared" si="34"/>
        <v>219.87521893491132</v>
      </c>
      <c r="N172" s="64">
        <f t="shared" si="35"/>
        <v>128.96527264451524</v>
      </c>
    </row>
    <row r="173" spans="1:14" x14ac:dyDescent="0.25">
      <c r="A173" s="1"/>
      <c r="B173" s="29">
        <v>1020786</v>
      </c>
      <c r="C173" s="29">
        <v>4</v>
      </c>
      <c r="D173" s="29">
        <v>270</v>
      </c>
      <c r="E173" s="69">
        <v>2.95</v>
      </c>
      <c r="F173" s="35">
        <v>3.38</v>
      </c>
      <c r="G173" s="49">
        <f t="shared" si="30"/>
        <v>1.0499999999999998</v>
      </c>
      <c r="H173" s="50">
        <f t="shared" si="31"/>
        <v>0.62000000000000011</v>
      </c>
      <c r="I173" s="51"/>
      <c r="J173" s="52">
        <f t="shared" si="32"/>
        <v>221989.40373236229</v>
      </c>
      <c r="K173" s="53">
        <f t="shared" si="33"/>
        <v>131079.45744196637</v>
      </c>
      <c r="M173" s="63">
        <f t="shared" si="34"/>
        <v>221.98940373236229</v>
      </c>
      <c r="N173" s="64">
        <f t="shared" si="35"/>
        <v>131.07945744196638</v>
      </c>
    </row>
    <row r="174" spans="1:14" x14ac:dyDescent="0.25">
      <c r="A174" s="1"/>
      <c r="B174" s="29">
        <v>1020786</v>
      </c>
      <c r="C174" s="29">
        <v>4</v>
      </c>
      <c r="D174" s="29">
        <v>270</v>
      </c>
      <c r="E174" s="69">
        <v>2.95</v>
      </c>
      <c r="F174" s="35">
        <v>3.38</v>
      </c>
      <c r="G174" s="49">
        <f t="shared" si="30"/>
        <v>1.0499999999999998</v>
      </c>
      <c r="H174" s="50">
        <f t="shared" si="31"/>
        <v>0.62000000000000011</v>
      </c>
      <c r="I174" s="51"/>
      <c r="J174" s="52">
        <f t="shared" si="32"/>
        <v>221989.40373236229</v>
      </c>
      <c r="K174" s="53">
        <f t="shared" si="33"/>
        <v>131079.45744196637</v>
      </c>
      <c r="M174" s="63">
        <f t="shared" si="34"/>
        <v>221.98940373236229</v>
      </c>
      <c r="N174" s="64">
        <f t="shared" si="35"/>
        <v>131.07945744196638</v>
      </c>
    </row>
    <row r="175" spans="1:14" x14ac:dyDescent="0.25">
      <c r="A175" s="1"/>
      <c r="B175" s="29">
        <v>1020786</v>
      </c>
      <c r="C175" s="29">
        <v>4</v>
      </c>
      <c r="D175" s="29">
        <v>270</v>
      </c>
      <c r="E175" s="69">
        <v>2.95</v>
      </c>
      <c r="F175" s="35">
        <v>3.37</v>
      </c>
      <c r="G175" s="49">
        <f t="shared" si="30"/>
        <v>1.0499999999999998</v>
      </c>
      <c r="H175" s="50">
        <f t="shared" si="31"/>
        <v>0.62999999999999989</v>
      </c>
      <c r="I175" s="51"/>
      <c r="J175" s="52">
        <f t="shared" si="32"/>
        <v>221989.40373236229</v>
      </c>
      <c r="K175" s="53">
        <f t="shared" si="33"/>
        <v>133193.64223941739</v>
      </c>
      <c r="M175" s="63">
        <f t="shared" si="34"/>
        <v>221.98940373236229</v>
      </c>
      <c r="N175" s="64">
        <f t="shared" si="35"/>
        <v>133.19364223941739</v>
      </c>
    </row>
    <row r="176" spans="1:14" x14ac:dyDescent="0.25">
      <c r="A176" s="1"/>
      <c r="B176" s="29">
        <v>1020786</v>
      </c>
      <c r="C176" s="29">
        <v>4</v>
      </c>
      <c r="D176" s="29">
        <v>270</v>
      </c>
      <c r="E176" s="69">
        <v>2.95</v>
      </c>
      <c r="F176" s="35">
        <v>3.37</v>
      </c>
      <c r="G176" s="49">
        <f t="shared" si="30"/>
        <v>1.0499999999999998</v>
      </c>
      <c r="H176" s="50">
        <f t="shared" si="31"/>
        <v>0.62999999999999989</v>
      </c>
      <c r="I176" s="51"/>
      <c r="J176" s="52">
        <f t="shared" si="32"/>
        <v>221989.40373236229</v>
      </c>
      <c r="K176" s="53">
        <f t="shared" si="33"/>
        <v>133193.64223941739</v>
      </c>
      <c r="M176" s="63">
        <f t="shared" si="34"/>
        <v>221.98940373236229</v>
      </c>
      <c r="N176" s="64">
        <f t="shared" si="35"/>
        <v>133.19364223941739</v>
      </c>
    </row>
    <row r="177" spans="1:14" x14ac:dyDescent="0.25">
      <c r="A177" s="1"/>
      <c r="B177" s="29">
        <v>1020786</v>
      </c>
      <c r="C177" s="29">
        <v>4</v>
      </c>
      <c r="D177" s="29">
        <v>270</v>
      </c>
      <c r="E177" s="69">
        <v>2.95</v>
      </c>
      <c r="F177" s="35">
        <v>3.37</v>
      </c>
      <c r="G177" s="49">
        <f t="shared" si="30"/>
        <v>1.0499999999999998</v>
      </c>
      <c r="H177" s="50">
        <f t="shared" si="31"/>
        <v>0.62999999999999989</v>
      </c>
      <c r="I177" s="51"/>
      <c r="J177" s="52">
        <f t="shared" si="32"/>
        <v>221989.40373236229</v>
      </c>
      <c r="K177" s="53">
        <f t="shared" si="33"/>
        <v>133193.64223941739</v>
      </c>
      <c r="M177" s="63">
        <f t="shared" si="34"/>
        <v>221.98940373236229</v>
      </c>
      <c r="N177" s="64">
        <f t="shared" si="35"/>
        <v>133.19364223941739</v>
      </c>
    </row>
    <row r="178" spans="1:14" x14ac:dyDescent="0.25">
      <c r="A178" s="1"/>
      <c r="B178" s="29">
        <v>1020786</v>
      </c>
      <c r="C178" s="29">
        <v>4</v>
      </c>
      <c r="D178" s="29">
        <v>270</v>
      </c>
      <c r="E178" s="69">
        <v>2.94</v>
      </c>
      <c r="F178" s="35">
        <v>3.37</v>
      </c>
      <c r="G178" s="49">
        <f t="shared" si="30"/>
        <v>1.06</v>
      </c>
      <c r="H178" s="50">
        <f t="shared" si="31"/>
        <v>0.62999999999999989</v>
      </c>
      <c r="I178" s="51"/>
      <c r="J178" s="52">
        <f t="shared" si="32"/>
        <v>224103.58852981339</v>
      </c>
      <c r="K178" s="53">
        <f t="shared" si="33"/>
        <v>133193.64223941739</v>
      </c>
      <c r="M178" s="63">
        <f t="shared" si="34"/>
        <v>224.10358852981341</v>
      </c>
      <c r="N178" s="64">
        <f t="shared" si="35"/>
        <v>133.19364223941739</v>
      </c>
    </row>
    <row r="179" spans="1:14" x14ac:dyDescent="0.25">
      <c r="A179" s="1"/>
      <c r="B179" s="29">
        <v>1015528</v>
      </c>
      <c r="C179" s="29">
        <v>4</v>
      </c>
      <c r="D179" s="29">
        <v>250</v>
      </c>
      <c r="E179" s="69">
        <v>2.25</v>
      </c>
      <c r="F179" s="35">
        <v>3.8</v>
      </c>
      <c r="G179" s="49">
        <f t="shared" si="30"/>
        <v>1.75</v>
      </c>
      <c r="H179" s="50">
        <f t="shared" si="31"/>
        <v>0.20000000000000018</v>
      </c>
      <c r="I179" s="51"/>
      <c r="J179" s="52">
        <f t="shared" si="32"/>
        <v>342576.2403277196</v>
      </c>
      <c r="K179" s="53">
        <f t="shared" si="33"/>
        <v>39151.570323167987</v>
      </c>
      <c r="M179" s="63">
        <f t="shared" si="34"/>
        <v>342.57624032771957</v>
      </c>
      <c r="N179" s="64">
        <f t="shared" si="35"/>
        <v>39.151570323167988</v>
      </c>
    </row>
    <row r="180" spans="1:14" x14ac:dyDescent="0.25">
      <c r="A180" s="1"/>
      <c r="B180" s="29">
        <v>1015528</v>
      </c>
      <c r="C180" s="29">
        <v>4</v>
      </c>
      <c r="D180" s="29">
        <v>250</v>
      </c>
      <c r="E180" s="69">
        <v>2.25</v>
      </c>
      <c r="F180" s="35">
        <v>3.8</v>
      </c>
      <c r="G180" s="49">
        <f t="shared" si="30"/>
        <v>1.75</v>
      </c>
      <c r="H180" s="50">
        <f t="shared" si="31"/>
        <v>0.20000000000000018</v>
      </c>
      <c r="I180" s="51"/>
      <c r="J180" s="52">
        <f t="shared" si="32"/>
        <v>342576.2403277196</v>
      </c>
      <c r="K180" s="53">
        <f t="shared" si="33"/>
        <v>39151.570323167987</v>
      </c>
      <c r="M180" s="63">
        <f t="shared" si="34"/>
        <v>342.57624032771957</v>
      </c>
      <c r="N180" s="64">
        <f t="shared" si="35"/>
        <v>39.151570323167988</v>
      </c>
    </row>
    <row r="181" spans="1:14" x14ac:dyDescent="0.25">
      <c r="A181" s="1"/>
      <c r="B181" s="29">
        <v>1015528</v>
      </c>
      <c r="C181" s="29">
        <v>4</v>
      </c>
      <c r="D181" s="29">
        <v>250</v>
      </c>
      <c r="E181" s="69">
        <v>2.25</v>
      </c>
      <c r="F181" s="35">
        <v>3.8</v>
      </c>
      <c r="G181" s="49">
        <f t="shared" si="30"/>
        <v>1.75</v>
      </c>
      <c r="H181" s="50">
        <f t="shared" si="31"/>
        <v>0.20000000000000018</v>
      </c>
      <c r="I181" s="51"/>
      <c r="J181" s="52">
        <f t="shared" si="32"/>
        <v>342576.2403277196</v>
      </c>
      <c r="K181" s="53">
        <f t="shared" si="33"/>
        <v>39151.570323167987</v>
      </c>
      <c r="M181" s="63">
        <f t="shared" si="34"/>
        <v>342.57624032771957</v>
      </c>
      <c r="N181" s="64">
        <f t="shared" si="35"/>
        <v>39.151570323167988</v>
      </c>
    </row>
    <row r="182" spans="1:14" x14ac:dyDescent="0.25">
      <c r="A182" s="1"/>
      <c r="B182" s="29">
        <v>1015528</v>
      </c>
      <c r="C182" s="29">
        <v>4</v>
      </c>
      <c r="D182" s="29">
        <v>250</v>
      </c>
      <c r="E182" s="69">
        <v>2.2400000000000002</v>
      </c>
      <c r="F182" s="35">
        <v>3.79</v>
      </c>
      <c r="G182" s="49">
        <f t="shared" si="30"/>
        <v>1.7599999999999998</v>
      </c>
      <c r="H182" s="50">
        <f t="shared" si="31"/>
        <v>0.20999999999999996</v>
      </c>
      <c r="I182" s="51"/>
      <c r="J182" s="52">
        <f t="shared" si="32"/>
        <v>344533.81884387799</v>
      </c>
      <c r="K182" s="53">
        <f t="shared" si="33"/>
        <v>41109.148839326343</v>
      </c>
      <c r="M182" s="63">
        <f t="shared" si="34"/>
        <v>344.53381884387801</v>
      </c>
      <c r="N182" s="64">
        <f t="shared" si="35"/>
        <v>41.109148839326345</v>
      </c>
    </row>
    <row r="183" spans="1:14" x14ac:dyDescent="0.25">
      <c r="A183" s="1"/>
      <c r="B183" s="29">
        <v>1015528</v>
      </c>
      <c r="C183" s="29">
        <v>4</v>
      </c>
      <c r="D183" s="29">
        <v>250</v>
      </c>
      <c r="E183" s="69">
        <v>2.2400000000000002</v>
      </c>
      <c r="F183" s="35">
        <v>3.79</v>
      </c>
      <c r="G183" s="49">
        <f t="shared" si="30"/>
        <v>1.7599999999999998</v>
      </c>
      <c r="H183" s="50">
        <f t="shared" si="31"/>
        <v>0.20999999999999996</v>
      </c>
      <c r="I183" s="51"/>
      <c r="J183" s="52">
        <f t="shared" si="32"/>
        <v>344533.81884387799</v>
      </c>
      <c r="K183" s="53">
        <f t="shared" si="33"/>
        <v>41109.148839326343</v>
      </c>
      <c r="M183" s="63">
        <f t="shared" si="34"/>
        <v>344.53381884387801</v>
      </c>
      <c r="N183" s="64">
        <f t="shared" si="35"/>
        <v>41.109148839326345</v>
      </c>
    </row>
    <row r="184" spans="1:14" x14ac:dyDescent="0.25">
      <c r="A184" s="1"/>
      <c r="B184" s="29">
        <v>1015528</v>
      </c>
      <c r="C184" s="29">
        <v>4</v>
      </c>
      <c r="D184" s="29">
        <v>250</v>
      </c>
      <c r="E184" s="69">
        <v>2.2400000000000002</v>
      </c>
      <c r="F184" s="35">
        <v>3.79</v>
      </c>
      <c r="G184" s="49">
        <f t="shared" si="30"/>
        <v>1.7599999999999998</v>
      </c>
      <c r="H184" s="50">
        <f t="shared" si="31"/>
        <v>0.20999999999999996</v>
      </c>
      <c r="I184" s="51"/>
      <c r="J184" s="52">
        <f t="shared" si="32"/>
        <v>344533.81884387799</v>
      </c>
      <c r="K184" s="53">
        <f t="shared" si="33"/>
        <v>41109.148839326343</v>
      </c>
      <c r="M184" s="63">
        <f t="shared" si="34"/>
        <v>344.53381884387801</v>
      </c>
      <c r="N184" s="64">
        <f t="shared" si="35"/>
        <v>41.109148839326345</v>
      </c>
    </row>
  </sheetData>
  <sortState ref="A4:N184">
    <sortCondition ref="J4:J184"/>
  </sortState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/>
  <dimension ref="A1:P34"/>
  <sheetViews>
    <sheetView workbookViewId="0">
      <selection activeCell="O37" sqref="O37"/>
    </sheetView>
  </sheetViews>
  <sheetFormatPr defaultRowHeight="15" x14ac:dyDescent="0.25"/>
  <cols>
    <col min="2" max="2" width="26.140625" style="3" customWidth="1"/>
    <col min="3" max="3" width="16.5703125" style="3" customWidth="1"/>
    <col min="4" max="4" width="13.85546875" style="3" customWidth="1"/>
    <col min="5" max="5" width="12.5703125" style="30" customWidth="1"/>
    <col min="6" max="6" width="12.5703125" style="32" customWidth="1"/>
    <col min="7" max="7" width="9.140625" style="38"/>
    <col min="8" max="8" width="11.5703125" style="39" customWidth="1"/>
    <col min="9" max="9" width="11.5703125" style="42" customWidth="1"/>
    <col min="10" max="10" width="19.140625" style="40" customWidth="1"/>
    <col min="11" max="11" width="19" style="41" customWidth="1"/>
    <col min="13" max="13" width="16" style="65" customWidth="1"/>
    <col min="14" max="14" width="17" style="66" customWidth="1"/>
    <col min="16" max="16" width="13.85546875" customWidth="1"/>
  </cols>
  <sheetData>
    <row r="1" spans="1:14" ht="18.75" x14ac:dyDescent="0.3">
      <c r="A1" s="1"/>
      <c r="B1" s="2" t="s">
        <v>12</v>
      </c>
      <c r="C1" s="2" t="s">
        <v>9</v>
      </c>
      <c r="D1" s="2" t="s">
        <v>8</v>
      </c>
      <c r="E1" s="43" t="s">
        <v>14</v>
      </c>
      <c r="F1" s="43" t="s">
        <v>15</v>
      </c>
      <c r="G1" s="44" t="s">
        <v>18</v>
      </c>
      <c r="H1" s="45" t="s">
        <v>19</v>
      </c>
      <c r="I1" s="46"/>
      <c r="J1" s="47" t="s">
        <v>16</v>
      </c>
      <c r="K1" s="48" t="s">
        <v>17</v>
      </c>
      <c r="M1" s="59" t="s">
        <v>16</v>
      </c>
      <c r="N1" s="60" t="s">
        <v>17</v>
      </c>
    </row>
    <row r="2" spans="1:14" ht="18.75" x14ac:dyDescent="0.3">
      <c r="A2" s="1"/>
      <c r="B2" s="2"/>
      <c r="C2" s="4"/>
      <c r="D2" s="4"/>
      <c r="E2" s="13" t="s">
        <v>0</v>
      </c>
      <c r="F2" s="14" t="s">
        <v>1</v>
      </c>
      <c r="G2" s="49"/>
      <c r="H2" s="50"/>
      <c r="I2" s="51"/>
      <c r="J2" s="56" t="s">
        <v>20</v>
      </c>
      <c r="K2" s="57" t="s">
        <v>20</v>
      </c>
      <c r="M2" s="61" t="s">
        <v>21</v>
      </c>
      <c r="N2" s="62" t="s">
        <v>21</v>
      </c>
    </row>
    <row r="3" spans="1:14" ht="18.75" x14ac:dyDescent="0.3">
      <c r="A3" s="1"/>
      <c r="B3" s="2"/>
      <c r="C3" s="4"/>
      <c r="D3" s="4"/>
      <c r="E3" s="13"/>
      <c r="F3" s="14"/>
      <c r="G3" s="49"/>
      <c r="H3" s="50"/>
      <c r="I3" s="51"/>
      <c r="J3" s="56"/>
      <c r="K3" s="57"/>
      <c r="M3" s="61"/>
      <c r="N3" s="62"/>
    </row>
    <row r="4" spans="1:14" x14ac:dyDescent="0.25">
      <c r="A4" s="1"/>
      <c r="B4" s="29">
        <v>1020705</v>
      </c>
      <c r="C4" s="29">
        <v>1</v>
      </c>
      <c r="D4" s="29">
        <v>537</v>
      </c>
      <c r="E4" s="34">
        <v>-0.24</v>
      </c>
      <c r="F4" s="35">
        <v>0.94</v>
      </c>
      <c r="G4" s="49">
        <f t="shared" ref="G4:G34" si="0">ABS(E4-C4)</f>
        <v>1.24</v>
      </c>
      <c r="H4" s="50">
        <f t="shared" ref="H4:H34" si="1">ABS(F4-C4)</f>
        <v>6.0000000000000053E-2</v>
      </c>
      <c r="I4" s="51"/>
      <c r="J4" s="52">
        <f t="shared" ref="J4:J34" si="2">(((2*(D4/1000)*((C4/1000)^3)*210000000000/(0.0325^3))))*(G4/1000)</f>
        <v>8146.9523896222126</v>
      </c>
      <c r="K4" s="53">
        <f t="shared" ref="K4:K34" si="3">(((2*(D4/1000)*((C4/1000)^3)*210000000000/(0.0325^3))))*(H4/1000)</f>
        <v>394.20737369139778</v>
      </c>
      <c r="M4" s="63">
        <f t="shared" ref="M4:M34" si="4">J4/1000</f>
        <v>8.1469523896222125</v>
      </c>
      <c r="N4" s="64">
        <f t="shared" ref="N4:N34" si="5">K4/1000</f>
        <v>0.3942073736913978</v>
      </c>
    </row>
    <row r="5" spans="1:14" x14ac:dyDescent="0.25">
      <c r="A5" s="1"/>
      <c r="B5" s="29">
        <v>1020874</v>
      </c>
      <c r="C5" s="29">
        <v>0.9</v>
      </c>
      <c r="D5" s="29">
        <v>550</v>
      </c>
      <c r="E5" s="34">
        <v>-1.07</v>
      </c>
      <c r="F5" s="35">
        <v>0.84</v>
      </c>
      <c r="G5" s="49">
        <f t="shared" si="0"/>
        <v>1.9700000000000002</v>
      </c>
      <c r="H5" s="50">
        <f t="shared" si="1"/>
        <v>6.0000000000000053E-2</v>
      </c>
      <c r="I5" s="51"/>
      <c r="J5" s="52">
        <f t="shared" si="2"/>
        <v>9663.9717432862999</v>
      </c>
      <c r="K5" s="53">
        <f t="shared" si="3"/>
        <v>294.33416477014134</v>
      </c>
      <c r="M5" s="63">
        <f t="shared" si="4"/>
        <v>9.6639717432863002</v>
      </c>
      <c r="N5" s="64">
        <f t="shared" si="5"/>
        <v>0.29433416477014135</v>
      </c>
    </row>
    <row r="6" spans="1:14" x14ac:dyDescent="0.25">
      <c r="A6" s="1"/>
      <c r="B6" s="29">
        <v>1020874</v>
      </c>
      <c r="C6" s="29">
        <v>0.9</v>
      </c>
      <c r="D6" s="29">
        <v>550</v>
      </c>
      <c r="E6" s="34">
        <v>-1.07</v>
      </c>
      <c r="F6" s="35">
        <v>0.84</v>
      </c>
      <c r="G6" s="49">
        <f t="shared" si="0"/>
        <v>1.9700000000000002</v>
      </c>
      <c r="H6" s="50">
        <f t="shared" si="1"/>
        <v>6.0000000000000053E-2</v>
      </c>
      <c r="I6" s="51"/>
      <c r="J6" s="52">
        <f t="shared" si="2"/>
        <v>9663.9717432862999</v>
      </c>
      <c r="K6" s="53">
        <f t="shared" si="3"/>
        <v>294.33416477014134</v>
      </c>
      <c r="M6" s="63">
        <f t="shared" si="4"/>
        <v>9.6639717432863002</v>
      </c>
      <c r="N6" s="64">
        <f t="shared" si="5"/>
        <v>0.29433416477014135</v>
      </c>
    </row>
    <row r="7" spans="1:14" x14ac:dyDescent="0.25">
      <c r="A7" s="1"/>
      <c r="B7" s="29">
        <v>1020830</v>
      </c>
      <c r="C7" s="29">
        <v>1</v>
      </c>
      <c r="D7" s="29">
        <v>855</v>
      </c>
      <c r="E7" s="34">
        <v>-0.99</v>
      </c>
      <c r="F7" s="35">
        <v>0.49</v>
      </c>
      <c r="G7" s="49">
        <f t="shared" si="0"/>
        <v>1.99</v>
      </c>
      <c r="H7" s="50">
        <f t="shared" si="1"/>
        <v>0.51</v>
      </c>
      <c r="I7" s="51"/>
      <c r="J7" s="52">
        <f t="shared" si="2"/>
        <v>20817.012289485661</v>
      </c>
      <c r="K7" s="53">
        <f t="shared" si="3"/>
        <v>5335.013199817934</v>
      </c>
      <c r="M7" s="63">
        <f t="shared" si="4"/>
        <v>20.81701228948566</v>
      </c>
      <c r="N7" s="64">
        <f t="shared" si="5"/>
        <v>5.3350131998179338</v>
      </c>
    </row>
    <row r="8" spans="1:14" x14ac:dyDescent="0.25">
      <c r="A8" s="1"/>
      <c r="B8" s="29">
        <v>1020817</v>
      </c>
      <c r="C8" s="29">
        <v>1.4</v>
      </c>
      <c r="D8" s="29">
        <v>815</v>
      </c>
      <c r="E8" s="34">
        <v>-0.99</v>
      </c>
      <c r="F8" s="35">
        <v>1.49</v>
      </c>
      <c r="G8" s="49">
        <f t="shared" si="0"/>
        <v>2.3899999999999997</v>
      </c>
      <c r="H8" s="50">
        <f t="shared" si="1"/>
        <v>9.000000000000008E-2</v>
      </c>
      <c r="I8" s="51"/>
      <c r="J8" s="52">
        <f t="shared" si="2"/>
        <v>65394.13871279014</v>
      </c>
      <c r="K8" s="53">
        <f t="shared" si="3"/>
        <v>2462.5407883477483</v>
      </c>
      <c r="M8" s="63">
        <f t="shared" si="4"/>
        <v>65.394138712790138</v>
      </c>
      <c r="N8" s="64">
        <f t="shared" si="5"/>
        <v>2.4625407883477481</v>
      </c>
    </row>
    <row r="9" spans="1:14" x14ac:dyDescent="0.25">
      <c r="A9" s="1"/>
      <c r="B9" s="29">
        <v>1020817</v>
      </c>
      <c r="C9" s="29">
        <v>1.4</v>
      </c>
      <c r="D9" s="29">
        <v>815</v>
      </c>
      <c r="E9" s="34">
        <v>-0.99</v>
      </c>
      <c r="F9" s="35">
        <v>1.49</v>
      </c>
      <c r="G9" s="49">
        <f t="shared" si="0"/>
        <v>2.3899999999999997</v>
      </c>
      <c r="H9" s="50">
        <f t="shared" si="1"/>
        <v>9.000000000000008E-2</v>
      </c>
      <c r="I9" s="51"/>
      <c r="J9" s="52">
        <f t="shared" si="2"/>
        <v>65394.13871279014</v>
      </c>
      <c r="K9" s="53">
        <f t="shared" si="3"/>
        <v>2462.5407883477483</v>
      </c>
      <c r="M9" s="63">
        <f t="shared" si="4"/>
        <v>65.394138712790138</v>
      </c>
      <c r="N9" s="64">
        <f t="shared" si="5"/>
        <v>2.4625407883477481</v>
      </c>
    </row>
    <row r="10" spans="1:14" x14ac:dyDescent="0.25">
      <c r="A10" s="1"/>
      <c r="B10" s="29">
        <v>1020817</v>
      </c>
      <c r="C10" s="29">
        <v>1.4</v>
      </c>
      <c r="D10" s="29">
        <v>815</v>
      </c>
      <c r="E10" s="34">
        <v>-0.99</v>
      </c>
      <c r="F10" s="35">
        <v>1.49</v>
      </c>
      <c r="G10" s="49">
        <f t="shared" si="0"/>
        <v>2.3899999999999997</v>
      </c>
      <c r="H10" s="50">
        <f t="shared" si="1"/>
        <v>9.000000000000008E-2</v>
      </c>
      <c r="I10" s="51"/>
      <c r="J10" s="52">
        <f t="shared" si="2"/>
        <v>65394.13871279014</v>
      </c>
      <c r="K10" s="53">
        <f t="shared" si="3"/>
        <v>2462.5407883477483</v>
      </c>
      <c r="M10" s="63">
        <f t="shared" si="4"/>
        <v>65.394138712790138</v>
      </c>
      <c r="N10" s="64">
        <f t="shared" si="5"/>
        <v>2.4625407883477481</v>
      </c>
    </row>
    <row r="11" spans="1:14" x14ac:dyDescent="0.25">
      <c r="A11" s="1"/>
      <c r="B11" s="29">
        <v>1020817</v>
      </c>
      <c r="C11" s="29">
        <v>1.4</v>
      </c>
      <c r="D11" s="29">
        <v>815</v>
      </c>
      <c r="E11" s="34">
        <v>-0.99</v>
      </c>
      <c r="F11" s="35">
        <v>1.49</v>
      </c>
      <c r="G11" s="49">
        <f t="shared" si="0"/>
        <v>2.3899999999999997</v>
      </c>
      <c r="H11" s="50">
        <f t="shared" si="1"/>
        <v>9.000000000000008E-2</v>
      </c>
      <c r="I11" s="51"/>
      <c r="J11" s="52">
        <f t="shared" si="2"/>
        <v>65394.13871279014</v>
      </c>
      <c r="K11" s="53">
        <f t="shared" si="3"/>
        <v>2462.5407883477483</v>
      </c>
      <c r="M11" s="63">
        <f t="shared" si="4"/>
        <v>65.394138712790138</v>
      </c>
      <c r="N11" s="64">
        <f t="shared" si="5"/>
        <v>2.4625407883477481</v>
      </c>
    </row>
    <row r="12" spans="1:14" x14ac:dyDescent="0.25">
      <c r="A12" s="1"/>
      <c r="B12" s="29">
        <v>1020817</v>
      </c>
      <c r="C12" s="29">
        <v>1.4</v>
      </c>
      <c r="D12" s="29">
        <v>815</v>
      </c>
      <c r="E12" s="34">
        <v>-0.99</v>
      </c>
      <c r="F12" s="35">
        <v>1.49</v>
      </c>
      <c r="G12" s="49">
        <f t="shared" si="0"/>
        <v>2.3899999999999997</v>
      </c>
      <c r="H12" s="50">
        <f t="shared" si="1"/>
        <v>9.000000000000008E-2</v>
      </c>
      <c r="I12" s="51"/>
      <c r="J12" s="52">
        <f t="shared" si="2"/>
        <v>65394.13871279014</v>
      </c>
      <c r="K12" s="53">
        <f t="shared" si="3"/>
        <v>2462.5407883477483</v>
      </c>
      <c r="M12" s="63">
        <f t="shared" si="4"/>
        <v>65.394138712790138</v>
      </c>
      <c r="N12" s="64">
        <f t="shared" si="5"/>
        <v>2.4625407883477481</v>
      </c>
    </row>
    <row r="13" spans="1:14" x14ac:dyDescent="0.25">
      <c r="A13" s="1"/>
      <c r="B13" s="29">
        <v>1020834</v>
      </c>
      <c r="C13" s="29">
        <v>2</v>
      </c>
      <c r="D13" s="7">
        <v>485</v>
      </c>
      <c r="E13" s="54">
        <v>0.01</v>
      </c>
      <c r="F13" s="55">
        <v>1.49</v>
      </c>
      <c r="G13" s="49">
        <f t="shared" si="0"/>
        <v>1.99</v>
      </c>
      <c r="H13" s="50">
        <f t="shared" si="1"/>
        <v>0.51</v>
      </c>
      <c r="I13" s="51"/>
      <c r="J13" s="52">
        <f t="shared" si="2"/>
        <v>94467.845243513875</v>
      </c>
      <c r="K13" s="53">
        <f t="shared" si="3"/>
        <v>24210.352298588983</v>
      </c>
      <c r="M13" s="63">
        <f t="shared" si="4"/>
        <v>94.467845243513878</v>
      </c>
      <c r="N13" s="64">
        <f t="shared" si="5"/>
        <v>24.210352298588983</v>
      </c>
    </row>
    <row r="14" spans="1:14" x14ac:dyDescent="0.25">
      <c r="A14" s="1"/>
      <c r="B14" s="29">
        <v>1020834</v>
      </c>
      <c r="C14" s="29">
        <v>2</v>
      </c>
      <c r="D14" s="29">
        <v>485</v>
      </c>
      <c r="E14" s="34">
        <v>0.01</v>
      </c>
      <c r="F14" s="35">
        <v>1.49</v>
      </c>
      <c r="G14" s="49">
        <f t="shared" si="0"/>
        <v>1.99</v>
      </c>
      <c r="H14" s="50">
        <f t="shared" si="1"/>
        <v>0.51</v>
      </c>
      <c r="I14" s="51"/>
      <c r="J14" s="52">
        <f t="shared" si="2"/>
        <v>94467.845243513875</v>
      </c>
      <c r="K14" s="53">
        <f t="shared" si="3"/>
        <v>24210.352298588983</v>
      </c>
      <c r="M14" s="63">
        <f t="shared" si="4"/>
        <v>94.467845243513878</v>
      </c>
      <c r="N14" s="64">
        <f t="shared" si="5"/>
        <v>24.210352298588983</v>
      </c>
    </row>
    <row r="15" spans="1:14" x14ac:dyDescent="0.25">
      <c r="A15" s="1"/>
      <c r="B15" s="29">
        <v>1017078</v>
      </c>
      <c r="C15" s="29">
        <v>2</v>
      </c>
      <c r="D15" s="29">
        <v>1035</v>
      </c>
      <c r="E15" s="34">
        <v>0.99</v>
      </c>
      <c r="F15" s="35">
        <v>2.1</v>
      </c>
      <c r="G15" s="49">
        <f t="shared" si="0"/>
        <v>1.01</v>
      </c>
      <c r="H15" s="50">
        <f t="shared" si="1"/>
        <v>0.10000000000000009</v>
      </c>
      <c r="I15" s="51"/>
      <c r="J15" s="52">
        <f t="shared" si="2"/>
        <v>102317.73509330906</v>
      </c>
      <c r="K15" s="53">
        <f t="shared" si="3"/>
        <v>10130.468821119717</v>
      </c>
      <c r="M15" s="63">
        <f t="shared" si="4"/>
        <v>102.31773509330907</v>
      </c>
      <c r="N15" s="64">
        <f t="shared" si="5"/>
        <v>10.130468821119717</v>
      </c>
    </row>
    <row r="16" spans="1:14" x14ac:dyDescent="0.25">
      <c r="A16" s="1"/>
      <c r="B16" s="29">
        <v>1017078</v>
      </c>
      <c r="C16" s="29">
        <v>2</v>
      </c>
      <c r="D16" s="29">
        <v>1035</v>
      </c>
      <c r="E16" s="34">
        <v>0.99</v>
      </c>
      <c r="F16" s="35">
        <v>2.1</v>
      </c>
      <c r="G16" s="49">
        <f t="shared" si="0"/>
        <v>1.01</v>
      </c>
      <c r="H16" s="50">
        <f t="shared" si="1"/>
        <v>0.10000000000000009</v>
      </c>
      <c r="I16" s="51"/>
      <c r="J16" s="52">
        <f t="shared" si="2"/>
        <v>102317.73509330906</v>
      </c>
      <c r="K16" s="53">
        <f t="shared" si="3"/>
        <v>10130.468821119717</v>
      </c>
      <c r="M16" s="63">
        <f t="shared" si="4"/>
        <v>102.31773509330907</v>
      </c>
      <c r="N16" s="64">
        <f t="shared" si="5"/>
        <v>10.130468821119717</v>
      </c>
    </row>
    <row r="17" spans="1:16" x14ac:dyDescent="0.25">
      <c r="A17" s="1"/>
      <c r="B17" s="29">
        <v>1020697</v>
      </c>
      <c r="C17" s="29">
        <v>2</v>
      </c>
      <c r="D17" s="29">
        <v>465</v>
      </c>
      <c r="E17" s="34">
        <v>-0.69</v>
      </c>
      <c r="F17" s="35">
        <v>0.44</v>
      </c>
      <c r="G17" s="49">
        <f t="shared" si="0"/>
        <v>2.69</v>
      </c>
      <c r="H17" s="50">
        <f t="shared" si="1"/>
        <v>1.56</v>
      </c>
      <c r="I17" s="51"/>
      <c r="J17" s="52">
        <f t="shared" si="2"/>
        <v>122431.8543468366</v>
      </c>
      <c r="K17" s="53">
        <f t="shared" si="3"/>
        <v>71001.372781065089</v>
      </c>
      <c r="M17" s="63">
        <f t="shared" si="4"/>
        <v>122.4318543468366</v>
      </c>
      <c r="N17" s="64">
        <f t="shared" si="5"/>
        <v>71.001372781065086</v>
      </c>
    </row>
    <row r="18" spans="1:16" x14ac:dyDescent="0.25">
      <c r="A18" s="1"/>
      <c r="B18" s="29">
        <v>1020697</v>
      </c>
      <c r="C18" s="29">
        <v>2</v>
      </c>
      <c r="D18" s="29">
        <v>465</v>
      </c>
      <c r="E18" s="34">
        <v>-0.69</v>
      </c>
      <c r="F18" s="35">
        <v>0.44</v>
      </c>
      <c r="G18" s="49">
        <f t="shared" si="0"/>
        <v>2.69</v>
      </c>
      <c r="H18" s="50">
        <f t="shared" si="1"/>
        <v>1.56</v>
      </c>
      <c r="I18" s="51"/>
      <c r="J18" s="52">
        <f t="shared" si="2"/>
        <v>122431.8543468366</v>
      </c>
      <c r="K18" s="53">
        <f t="shared" si="3"/>
        <v>71001.372781065089</v>
      </c>
      <c r="M18" s="63">
        <f t="shared" si="4"/>
        <v>122.4318543468366</v>
      </c>
      <c r="N18" s="64">
        <f t="shared" si="5"/>
        <v>71.001372781065086</v>
      </c>
    </row>
    <row r="19" spans="1:16" x14ac:dyDescent="0.25">
      <c r="A19" s="1"/>
      <c r="B19" s="29">
        <v>1020697</v>
      </c>
      <c r="C19" s="29">
        <v>2</v>
      </c>
      <c r="D19" s="29">
        <v>465</v>
      </c>
      <c r="E19" s="34">
        <v>-0.7</v>
      </c>
      <c r="F19" s="35">
        <v>0.45</v>
      </c>
      <c r="G19" s="49">
        <f t="shared" si="0"/>
        <v>2.7</v>
      </c>
      <c r="H19" s="50">
        <f t="shared" si="1"/>
        <v>1.55</v>
      </c>
      <c r="I19" s="51"/>
      <c r="J19" s="52">
        <f t="shared" si="2"/>
        <v>122886.99135184343</v>
      </c>
      <c r="K19" s="53">
        <f t="shared" si="3"/>
        <v>70546.235776058253</v>
      </c>
      <c r="M19" s="63">
        <f t="shared" si="4"/>
        <v>122.88699135184343</v>
      </c>
      <c r="N19" s="64">
        <f t="shared" si="5"/>
        <v>70.546235776058253</v>
      </c>
    </row>
    <row r="20" spans="1:16" x14ac:dyDescent="0.25">
      <c r="A20" s="1"/>
      <c r="B20" s="29">
        <v>1020697</v>
      </c>
      <c r="C20" s="29">
        <v>2</v>
      </c>
      <c r="D20" s="29">
        <v>465</v>
      </c>
      <c r="E20" s="34">
        <v>-0.7</v>
      </c>
      <c r="F20" s="35">
        <v>0.44</v>
      </c>
      <c r="G20" s="49">
        <f t="shared" si="0"/>
        <v>2.7</v>
      </c>
      <c r="H20" s="50">
        <f t="shared" si="1"/>
        <v>1.56</v>
      </c>
      <c r="I20" s="51"/>
      <c r="J20" s="52">
        <f t="shared" si="2"/>
        <v>122886.99135184343</v>
      </c>
      <c r="K20" s="53">
        <f t="shared" si="3"/>
        <v>71001.372781065089</v>
      </c>
      <c r="M20" s="63">
        <f t="shared" si="4"/>
        <v>122.88699135184343</v>
      </c>
      <c r="N20" s="64">
        <f t="shared" si="5"/>
        <v>71.001372781065086</v>
      </c>
    </row>
    <row r="21" spans="1:16" x14ac:dyDescent="0.25">
      <c r="A21" s="1"/>
      <c r="B21" s="29">
        <v>1020697</v>
      </c>
      <c r="C21" s="29">
        <v>2</v>
      </c>
      <c r="D21" s="29">
        <v>465</v>
      </c>
      <c r="E21" s="34">
        <v>-0.7</v>
      </c>
      <c r="F21" s="35">
        <v>0.44</v>
      </c>
      <c r="G21" s="49">
        <f t="shared" si="0"/>
        <v>2.7</v>
      </c>
      <c r="H21" s="50">
        <f t="shared" si="1"/>
        <v>1.56</v>
      </c>
      <c r="I21" s="51"/>
      <c r="J21" s="52">
        <f t="shared" si="2"/>
        <v>122886.99135184343</v>
      </c>
      <c r="K21" s="53">
        <f t="shared" si="3"/>
        <v>71001.372781065089</v>
      </c>
      <c r="M21" s="63">
        <f t="shared" si="4"/>
        <v>122.88699135184343</v>
      </c>
      <c r="N21" s="64">
        <f t="shared" si="5"/>
        <v>71.001372781065086</v>
      </c>
    </row>
    <row r="22" spans="1:16" x14ac:dyDescent="0.25">
      <c r="A22" s="1"/>
      <c r="B22" s="29">
        <v>1020697</v>
      </c>
      <c r="C22" s="29">
        <v>2</v>
      </c>
      <c r="D22" s="29">
        <v>465</v>
      </c>
      <c r="E22" s="34">
        <v>-0.7</v>
      </c>
      <c r="F22" s="35">
        <v>0.47</v>
      </c>
      <c r="G22" s="49">
        <f t="shared" si="0"/>
        <v>2.7</v>
      </c>
      <c r="H22" s="50">
        <f t="shared" si="1"/>
        <v>1.53</v>
      </c>
      <c r="I22" s="51"/>
      <c r="J22" s="52">
        <f t="shared" si="2"/>
        <v>122886.99135184343</v>
      </c>
      <c r="K22" s="53">
        <f t="shared" si="3"/>
        <v>69635.961766044609</v>
      </c>
      <c r="M22" s="63">
        <f t="shared" si="4"/>
        <v>122.88699135184343</v>
      </c>
      <c r="N22" s="64">
        <f t="shared" si="5"/>
        <v>69.635961766044616</v>
      </c>
    </row>
    <row r="23" spans="1:16" x14ac:dyDescent="0.25">
      <c r="A23" s="1"/>
      <c r="B23" s="29">
        <v>1020716</v>
      </c>
      <c r="C23" s="29">
        <v>2</v>
      </c>
      <c r="D23" s="29">
        <v>460</v>
      </c>
      <c r="E23" s="34">
        <v>-0.75</v>
      </c>
      <c r="F23" s="35">
        <v>1.74</v>
      </c>
      <c r="G23" s="49">
        <f t="shared" si="0"/>
        <v>2.75</v>
      </c>
      <c r="H23" s="50">
        <f t="shared" si="1"/>
        <v>0.26</v>
      </c>
      <c r="I23" s="51"/>
      <c r="J23" s="52">
        <f t="shared" si="2"/>
        <v>123816.84114701865</v>
      </c>
      <c r="K23" s="53">
        <f t="shared" si="3"/>
        <v>11706.31952662722</v>
      </c>
      <c r="M23" s="63">
        <f t="shared" si="4"/>
        <v>123.81684114701865</v>
      </c>
      <c r="N23" s="64">
        <f t="shared" si="5"/>
        <v>11.706319526627219</v>
      </c>
    </row>
    <row r="24" spans="1:16" x14ac:dyDescent="0.25">
      <c r="A24" s="1"/>
      <c r="B24" s="29">
        <v>1020716</v>
      </c>
      <c r="C24" s="29">
        <v>2</v>
      </c>
      <c r="D24" s="29">
        <v>460</v>
      </c>
      <c r="E24" s="34">
        <v>-0.75</v>
      </c>
      <c r="F24" s="35">
        <v>1.74</v>
      </c>
      <c r="G24" s="49">
        <f t="shared" si="0"/>
        <v>2.75</v>
      </c>
      <c r="H24" s="50">
        <f t="shared" si="1"/>
        <v>0.26</v>
      </c>
      <c r="I24" s="51"/>
      <c r="J24" s="52">
        <f t="shared" si="2"/>
        <v>123816.84114701865</v>
      </c>
      <c r="K24" s="53">
        <f t="shared" si="3"/>
        <v>11706.31952662722</v>
      </c>
      <c r="M24" s="63">
        <f t="shared" si="4"/>
        <v>123.81684114701865</v>
      </c>
      <c r="N24" s="64">
        <f t="shared" si="5"/>
        <v>11.706319526627219</v>
      </c>
    </row>
    <row r="25" spans="1:16" x14ac:dyDescent="0.25">
      <c r="A25" s="1"/>
      <c r="B25" s="29">
        <v>1020716</v>
      </c>
      <c r="C25" s="29">
        <v>2</v>
      </c>
      <c r="D25" s="29">
        <v>460</v>
      </c>
      <c r="E25" s="34">
        <v>-0.75</v>
      </c>
      <c r="F25" s="35">
        <v>1.74</v>
      </c>
      <c r="G25" s="49">
        <f t="shared" si="0"/>
        <v>2.75</v>
      </c>
      <c r="H25" s="50">
        <f t="shared" si="1"/>
        <v>0.26</v>
      </c>
      <c r="I25" s="51"/>
      <c r="J25" s="52">
        <f t="shared" si="2"/>
        <v>123816.84114701865</v>
      </c>
      <c r="K25" s="53">
        <f t="shared" si="3"/>
        <v>11706.31952662722</v>
      </c>
      <c r="M25" s="63">
        <f t="shared" si="4"/>
        <v>123.81684114701865</v>
      </c>
      <c r="N25" s="64">
        <f t="shared" si="5"/>
        <v>11.706319526627219</v>
      </c>
    </row>
    <row r="26" spans="1:16" x14ac:dyDescent="0.25">
      <c r="A26" s="1"/>
      <c r="B26" s="29">
        <v>1020716</v>
      </c>
      <c r="C26" s="29">
        <v>2</v>
      </c>
      <c r="D26" s="29">
        <v>460</v>
      </c>
      <c r="E26" s="34">
        <v>-0.75</v>
      </c>
      <c r="F26" s="35">
        <v>1.74</v>
      </c>
      <c r="G26" s="49">
        <f t="shared" si="0"/>
        <v>2.75</v>
      </c>
      <c r="H26" s="50">
        <f t="shared" si="1"/>
        <v>0.26</v>
      </c>
      <c r="I26" s="51"/>
      <c r="J26" s="52">
        <f t="shared" si="2"/>
        <v>123816.84114701865</v>
      </c>
      <c r="K26" s="53">
        <f t="shared" si="3"/>
        <v>11706.31952662722</v>
      </c>
      <c r="M26" s="63">
        <f t="shared" si="4"/>
        <v>123.81684114701865</v>
      </c>
      <c r="N26" s="64">
        <f t="shared" si="5"/>
        <v>11.706319526627219</v>
      </c>
    </row>
    <row r="27" spans="1:16" x14ac:dyDescent="0.25">
      <c r="A27" s="1"/>
      <c r="B27" s="29">
        <v>1020716</v>
      </c>
      <c r="C27" s="29">
        <v>2</v>
      </c>
      <c r="D27" s="29">
        <v>460</v>
      </c>
      <c r="E27" s="34">
        <v>-0.75</v>
      </c>
      <c r="F27" s="35">
        <v>1.74</v>
      </c>
      <c r="G27" s="49">
        <f t="shared" si="0"/>
        <v>2.75</v>
      </c>
      <c r="H27" s="50">
        <f t="shared" si="1"/>
        <v>0.26</v>
      </c>
      <c r="I27" s="51"/>
      <c r="J27" s="52">
        <f t="shared" si="2"/>
        <v>123816.84114701865</v>
      </c>
      <c r="K27" s="53">
        <f t="shared" si="3"/>
        <v>11706.31952662722</v>
      </c>
      <c r="M27" s="63">
        <f t="shared" si="4"/>
        <v>123.81684114701865</v>
      </c>
      <c r="N27" s="64">
        <f t="shared" si="5"/>
        <v>11.706319526627219</v>
      </c>
    </row>
    <row r="28" spans="1:16" x14ac:dyDescent="0.25">
      <c r="A28" s="1"/>
      <c r="B28" s="29">
        <v>1020697</v>
      </c>
      <c r="C28" s="29">
        <v>2</v>
      </c>
      <c r="D28" s="29">
        <v>465</v>
      </c>
      <c r="E28" s="34">
        <v>-1.03</v>
      </c>
      <c r="F28" s="35">
        <v>0.8</v>
      </c>
      <c r="G28" s="49">
        <f t="shared" si="0"/>
        <v>3.0300000000000002</v>
      </c>
      <c r="H28" s="50">
        <f t="shared" si="1"/>
        <v>1.2</v>
      </c>
      <c r="I28" s="51"/>
      <c r="J28" s="52">
        <f t="shared" si="2"/>
        <v>137906.51251706874</v>
      </c>
      <c r="K28" s="53">
        <f t="shared" si="3"/>
        <v>54616.440600819296</v>
      </c>
      <c r="M28" s="63">
        <f t="shared" si="4"/>
        <v>137.90651251706873</v>
      </c>
      <c r="N28" s="64">
        <f t="shared" si="5"/>
        <v>54.616440600819296</v>
      </c>
    </row>
    <row r="29" spans="1:16" x14ac:dyDescent="0.25">
      <c r="A29" s="1"/>
      <c r="B29" s="29">
        <v>1020697</v>
      </c>
      <c r="C29" s="29">
        <v>2</v>
      </c>
      <c r="D29" s="29">
        <v>465</v>
      </c>
      <c r="E29" s="34">
        <v>-1.03</v>
      </c>
      <c r="F29" s="35">
        <v>0.8</v>
      </c>
      <c r="G29" s="49">
        <f t="shared" si="0"/>
        <v>3.0300000000000002</v>
      </c>
      <c r="H29" s="50">
        <f t="shared" si="1"/>
        <v>1.2</v>
      </c>
      <c r="I29" s="51"/>
      <c r="J29" s="52">
        <f t="shared" si="2"/>
        <v>137906.51251706874</v>
      </c>
      <c r="K29" s="53">
        <f t="shared" si="3"/>
        <v>54616.440600819296</v>
      </c>
      <c r="M29" s="63">
        <f t="shared" si="4"/>
        <v>137.90651251706873</v>
      </c>
      <c r="N29" s="64">
        <f t="shared" si="5"/>
        <v>54.616440600819296</v>
      </c>
    </row>
    <row r="30" spans="1:16" x14ac:dyDescent="0.25">
      <c r="A30" s="1"/>
      <c r="B30" s="29">
        <v>1020697</v>
      </c>
      <c r="C30" s="29">
        <v>2</v>
      </c>
      <c r="D30" s="29">
        <v>465</v>
      </c>
      <c r="E30" s="34">
        <v>-1.03</v>
      </c>
      <c r="F30" s="35">
        <v>0.8</v>
      </c>
      <c r="G30" s="49">
        <f t="shared" si="0"/>
        <v>3.0300000000000002</v>
      </c>
      <c r="H30" s="50">
        <f t="shared" si="1"/>
        <v>1.2</v>
      </c>
      <c r="I30" s="51"/>
      <c r="J30" s="52">
        <f t="shared" si="2"/>
        <v>137906.51251706874</v>
      </c>
      <c r="K30" s="53">
        <f t="shared" si="3"/>
        <v>54616.440600819296</v>
      </c>
      <c r="M30" s="63">
        <f t="shared" si="4"/>
        <v>137.90651251706873</v>
      </c>
      <c r="N30" s="64">
        <f t="shared" si="5"/>
        <v>54.616440600819296</v>
      </c>
    </row>
    <row r="31" spans="1:16" x14ac:dyDescent="0.25">
      <c r="A31" s="1"/>
      <c r="B31" s="29">
        <v>1015511</v>
      </c>
      <c r="C31" s="29">
        <v>3</v>
      </c>
      <c r="D31" s="29">
        <v>332</v>
      </c>
      <c r="E31" s="34">
        <v>1.18</v>
      </c>
      <c r="F31" s="35">
        <v>2.95</v>
      </c>
      <c r="G31" s="49">
        <f t="shared" si="0"/>
        <v>1.82</v>
      </c>
      <c r="H31" s="50">
        <f t="shared" si="1"/>
        <v>4.9999999999999822E-2</v>
      </c>
      <c r="I31" s="51"/>
      <c r="J31" s="52">
        <f t="shared" si="2"/>
        <v>199605.47218934909</v>
      </c>
      <c r="K31" s="53">
        <f t="shared" si="3"/>
        <v>5483.6668183886923</v>
      </c>
      <c r="M31" s="63">
        <f t="shared" si="4"/>
        <v>199.60547218934909</v>
      </c>
      <c r="N31" s="64">
        <f t="shared" si="5"/>
        <v>5.4836668183886923</v>
      </c>
    </row>
    <row r="32" spans="1:16" x14ac:dyDescent="0.25">
      <c r="A32" s="1"/>
      <c r="B32" s="29">
        <v>1020786</v>
      </c>
      <c r="C32" s="29">
        <v>4</v>
      </c>
      <c r="D32" s="29">
        <v>270</v>
      </c>
      <c r="E32" s="34">
        <v>2.39</v>
      </c>
      <c r="F32" s="35">
        <v>3.49</v>
      </c>
      <c r="G32" s="49">
        <f t="shared" si="0"/>
        <v>1.6099999999999999</v>
      </c>
      <c r="H32" s="50">
        <f t="shared" si="1"/>
        <v>0.50999999999999979</v>
      </c>
      <c r="I32" s="51"/>
      <c r="J32" s="52">
        <f t="shared" si="2"/>
        <v>340383.75238962221</v>
      </c>
      <c r="K32" s="53">
        <f t="shared" si="3"/>
        <v>107823.42467000453</v>
      </c>
      <c r="M32" s="63">
        <f t="shared" si="4"/>
        <v>340.3837523896222</v>
      </c>
      <c r="N32" s="64">
        <f t="shared" si="5"/>
        <v>107.82342467000453</v>
      </c>
      <c r="P32" s="58" t="s">
        <v>22</v>
      </c>
    </row>
    <row r="33" spans="1:16" x14ac:dyDescent="0.25">
      <c r="A33" s="1"/>
      <c r="B33" s="29">
        <v>1020786</v>
      </c>
      <c r="C33" s="29">
        <v>4</v>
      </c>
      <c r="D33" s="29">
        <v>270</v>
      </c>
      <c r="E33" s="34">
        <v>2.39</v>
      </c>
      <c r="F33" s="35">
        <v>3.49</v>
      </c>
      <c r="G33" s="49">
        <f t="shared" si="0"/>
        <v>1.6099999999999999</v>
      </c>
      <c r="H33" s="50">
        <f t="shared" si="1"/>
        <v>0.50999999999999979</v>
      </c>
      <c r="I33" s="51"/>
      <c r="J33" s="52">
        <f t="shared" si="2"/>
        <v>340383.75238962221</v>
      </c>
      <c r="K33" s="53">
        <f t="shared" si="3"/>
        <v>107823.42467000453</v>
      </c>
      <c r="M33" s="63">
        <f t="shared" si="4"/>
        <v>340.3837523896222</v>
      </c>
      <c r="N33" s="64">
        <f t="shared" si="5"/>
        <v>107.82342467000453</v>
      </c>
      <c r="P33" s="58" t="s">
        <v>22</v>
      </c>
    </row>
    <row r="34" spans="1:16" x14ac:dyDescent="0.25">
      <c r="A34" s="1"/>
      <c r="B34" s="29">
        <v>1020786</v>
      </c>
      <c r="C34" s="29">
        <v>4</v>
      </c>
      <c r="D34" s="29">
        <v>270</v>
      </c>
      <c r="E34" s="34">
        <v>2.39</v>
      </c>
      <c r="F34" s="35">
        <v>3.49</v>
      </c>
      <c r="G34" s="49">
        <f t="shared" si="0"/>
        <v>1.6099999999999999</v>
      </c>
      <c r="H34" s="50">
        <f t="shared" si="1"/>
        <v>0.50999999999999979</v>
      </c>
      <c r="I34" s="51"/>
      <c r="J34" s="52">
        <f t="shared" si="2"/>
        <v>340383.75238962221</v>
      </c>
      <c r="K34" s="53">
        <f t="shared" si="3"/>
        <v>107823.42467000453</v>
      </c>
      <c r="M34" s="63">
        <f t="shared" si="4"/>
        <v>340.3837523896222</v>
      </c>
      <c r="N34" s="64">
        <f t="shared" si="5"/>
        <v>107.82342467000453</v>
      </c>
      <c r="P34" s="58" t="s">
        <v>22</v>
      </c>
    </row>
  </sheetData>
  <sortState ref="B4:N34">
    <sortCondition ref="J4:J3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/>
  <dimension ref="A1:N28"/>
  <sheetViews>
    <sheetView workbookViewId="0">
      <selection activeCell="F29" sqref="F29"/>
    </sheetView>
  </sheetViews>
  <sheetFormatPr defaultRowHeight="15" x14ac:dyDescent="0.25"/>
  <cols>
    <col min="2" max="2" width="26.140625" style="3" customWidth="1"/>
    <col min="3" max="3" width="16.5703125" style="3" customWidth="1"/>
    <col min="4" max="4" width="13.85546875" style="3" customWidth="1"/>
    <col min="5" max="5" width="12.5703125" style="30" customWidth="1"/>
    <col min="6" max="6" width="12.5703125" style="32" customWidth="1"/>
    <col min="7" max="7" width="9.140625" style="38"/>
    <col min="8" max="8" width="11.5703125" style="39" customWidth="1"/>
    <col min="9" max="9" width="11.5703125" style="42" customWidth="1"/>
    <col min="10" max="10" width="19.140625" style="40" customWidth="1"/>
    <col min="11" max="11" width="19" style="41" customWidth="1"/>
    <col min="13" max="13" width="16" style="65" customWidth="1"/>
    <col min="14" max="14" width="17" style="66" customWidth="1"/>
    <col min="16" max="16" width="13.85546875" customWidth="1"/>
  </cols>
  <sheetData>
    <row r="1" spans="1:14" ht="18.75" x14ac:dyDescent="0.3">
      <c r="A1" s="1"/>
      <c r="B1" s="2" t="s">
        <v>12</v>
      </c>
      <c r="C1" s="2" t="s">
        <v>9</v>
      </c>
      <c r="D1" s="2" t="s">
        <v>8</v>
      </c>
      <c r="E1" s="43" t="s">
        <v>14</v>
      </c>
      <c r="F1" s="43" t="s">
        <v>15</v>
      </c>
      <c r="G1" s="44" t="s">
        <v>18</v>
      </c>
      <c r="H1" s="45" t="s">
        <v>19</v>
      </c>
      <c r="I1" s="46"/>
      <c r="J1" s="47" t="s">
        <v>16</v>
      </c>
      <c r="K1" s="48" t="s">
        <v>17</v>
      </c>
      <c r="M1" s="59" t="s">
        <v>16</v>
      </c>
      <c r="N1" s="60" t="s">
        <v>17</v>
      </c>
    </row>
    <row r="2" spans="1:14" ht="18.75" x14ac:dyDescent="0.3">
      <c r="A2" s="1"/>
      <c r="B2" s="2"/>
      <c r="C2" s="4"/>
      <c r="D2" s="4"/>
      <c r="E2" s="13" t="s">
        <v>0</v>
      </c>
      <c r="F2" s="14" t="s">
        <v>1</v>
      </c>
      <c r="G2" s="49"/>
      <c r="H2" s="50"/>
      <c r="I2" s="51"/>
      <c r="J2" s="56" t="s">
        <v>20</v>
      </c>
      <c r="K2" s="57" t="s">
        <v>20</v>
      </c>
      <c r="M2" s="61" t="s">
        <v>21</v>
      </c>
      <c r="N2" s="62" t="s">
        <v>21</v>
      </c>
    </row>
    <row r="3" spans="1:14" x14ac:dyDescent="0.25">
      <c r="A3" s="1"/>
      <c r="B3" s="29">
        <v>1020940</v>
      </c>
      <c r="C3" s="29">
        <v>0.4</v>
      </c>
      <c r="D3" s="29">
        <v>665</v>
      </c>
      <c r="E3" s="34">
        <v>-0.8</v>
      </c>
      <c r="F3" s="35">
        <v>-0.1</v>
      </c>
      <c r="G3" s="49">
        <f t="shared" ref="G3:G28" si="0">ABS(E3-C3)</f>
        <v>1.2000000000000002</v>
      </c>
      <c r="H3" s="50">
        <f t="shared" ref="H3:H28" si="1">ABS(F3-C3)</f>
        <v>0.5</v>
      </c>
      <c r="I3" s="51"/>
      <c r="J3" s="52">
        <f t="shared" ref="J3:J28" si="2">(((2*(D3/1000)*((C3/1000)^3)*210000000000/(0.0325^3))))*(G3/1000)</f>
        <v>624.85906235776054</v>
      </c>
      <c r="K3" s="53">
        <f t="shared" ref="K3:K28" si="3">(((2*(D3/1000)*((C3/1000)^3)*210000000000/(0.0325^3))))*(H3/1000)</f>
        <v>260.3579426490669</v>
      </c>
      <c r="M3" s="61"/>
      <c r="N3" s="62"/>
    </row>
    <row r="4" spans="1:14" x14ac:dyDescent="0.25">
      <c r="A4" s="1"/>
      <c r="B4" s="29">
        <v>1020950</v>
      </c>
      <c r="C4" s="29">
        <v>0.4</v>
      </c>
      <c r="D4" s="29">
        <v>658</v>
      </c>
      <c r="E4" s="34">
        <v>-0.8</v>
      </c>
      <c r="F4" s="35">
        <v>-0.1</v>
      </c>
      <c r="G4" s="49">
        <f t="shared" si="0"/>
        <v>1.2000000000000002</v>
      </c>
      <c r="H4" s="50">
        <f t="shared" si="1"/>
        <v>0.5</v>
      </c>
      <c r="I4" s="51"/>
      <c r="J4" s="52">
        <f t="shared" si="2"/>
        <v>618.28159854346836</v>
      </c>
      <c r="K4" s="53">
        <f t="shared" si="3"/>
        <v>257.61733272644517</v>
      </c>
      <c r="M4" s="63">
        <f t="shared" ref="M4:N28" si="4">J4/1000</f>
        <v>0.61828159854346831</v>
      </c>
      <c r="N4" s="64">
        <f t="shared" si="4"/>
        <v>0.25761733272644516</v>
      </c>
    </row>
    <row r="5" spans="1:14" x14ac:dyDescent="0.25">
      <c r="A5" s="1"/>
      <c r="B5" s="29">
        <v>1020884</v>
      </c>
      <c r="C5" s="29">
        <v>0.8</v>
      </c>
      <c r="D5" s="29">
        <v>445</v>
      </c>
      <c r="E5" s="34">
        <v>-0.99</v>
      </c>
      <c r="F5" s="35">
        <v>0.8</v>
      </c>
      <c r="G5" s="49">
        <f t="shared" si="0"/>
        <v>1.79</v>
      </c>
      <c r="H5" s="50">
        <f t="shared" si="1"/>
        <v>0</v>
      </c>
      <c r="I5" s="51"/>
      <c r="J5" s="52">
        <f t="shared" si="2"/>
        <v>4989.7893345471102</v>
      </c>
      <c r="K5" s="53">
        <f t="shared" si="3"/>
        <v>0</v>
      </c>
      <c r="M5" s="63">
        <f t="shared" si="4"/>
        <v>4.98978933454711</v>
      </c>
      <c r="N5" s="64">
        <f t="shared" si="4"/>
        <v>0</v>
      </c>
    </row>
    <row r="6" spans="1:14" x14ac:dyDescent="0.25">
      <c r="A6" s="1"/>
      <c r="B6" s="29">
        <v>1020884</v>
      </c>
      <c r="C6" s="29">
        <v>0.8</v>
      </c>
      <c r="D6" s="29">
        <v>445</v>
      </c>
      <c r="E6" s="34">
        <v>-0.99</v>
      </c>
      <c r="F6" s="55">
        <v>0.8</v>
      </c>
      <c r="G6" s="49">
        <f t="shared" si="0"/>
        <v>1.79</v>
      </c>
      <c r="H6" s="50">
        <f t="shared" si="1"/>
        <v>0</v>
      </c>
      <c r="I6" s="51"/>
      <c r="J6" s="52">
        <f t="shared" si="2"/>
        <v>4989.7893345471102</v>
      </c>
      <c r="K6" s="53">
        <f t="shared" si="3"/>
        <v>0</v>
      </c>
      <c r="M6" s="63">
        <f t="shared" si="4"/>
        <v>4.98978933454711</v>
      </c>
      <c r="N6" s="64">
        <f t="shared" si="4"/>
        <v>0</v>
      </c>
    </row>
    <row r="7" spans="1:14" x14ac:dyDescent="0.25">
      <c r="A7" s="1"/>
      <c r="B7" s="29">
        <v>1020884</v>
      </c>
      <c r="C7" s="29">
        <v>0.8</v>
      </c>
      <c r="D7" s="29">
        <v>445</v>
      </c>
      <c r="E7" s="34">
        <v>-0.99</v>
      </c>
      <c r="F7" s="35">
        <v>0.8</v>
      </c>
      <c r="G7" s="49">
        <f>ABS(E7-C7)</f>
        <v>1.79</v>
      </c>
      <c r="H7" s="50">
        <f t="shared" si="1"/>
        <v>0</v>
      </c>
      <c r="I7" s="51"/>
      <c r="J7" s="52">
        <f t="shared" si="2"/>
        <v>4989.7893345471102</v>
      </c>
      <c r="K7" s="53">
        <f t="shared" si="3"/>
        <v>0</v>
      </c>
      <c r="M7" s="63">
        <f t="shared" si="4"/>
        <v>4.98978933454711</v>
      </c>
      <c r="N7" s="64">
        <f t="shared" si="4"/>
        <v>0</v>
      </c>
    </row>
    <row r="8" spans="1:14" x14ac:dyDescent="0.25">
      <c r="A8" s="1"/>
      <c r="B8" s="29">
        <v>1020893</v>
      </c>
      <c r="C8" s="29">
        <v>0.9</v>
      </c>
      <c r="D8" s="29">
        <v>1335</v>
      </c>
      <c r="E8" s="34">
        <v>0.01</v>
      </c>
      <c r="F8" s="35">
        <v>0.81</v>
      </c>
      <c r="G8" s="49">
        <f t="shared" si="0"/>
        <v>0.89</v>
      </c>
      <c r="H8" s="50">
        <f t="shared" si="1"/>
        <v>8.9999999999999969E-2</v>
      </c>
      <c r="I8" s="51"/>
      <c r="J8" s="52">
        <f t="shared" si="2"/>
        <v>10597.367814292216</v>
      </c>
      <c r="K8" s="53">
        <f t="shared" si="3"/>
        <v>1071.6439362767405</v>
      </c>
      <c r="M8" s="63">
        <f t="shared" si="4"/>
        <v>10.597367814292216</v>
      </c>
      <c r="N8" s="64">
        <f t="shared" si="4"/>
        <v>1.0716439362767405</v>
      </c>
    </row>
    <row r="9" spans="1:14" x14ac:dyDescent="0.25">
      <c r="A9" s="1"/>
      <c r="B9" s="29">
        <v>1020893</v>
      </c>
      <c r="C9" s="29">
        <v>0.9</v>
      </c>
      <c r="D9" s="29">
        <v>1335</v>
      </c>
      <c r="E9" s="34">
        <v>0.01</v>
      </c>
      <c r="F9" s="35">
        <v>0.81</v>
      </c>
      <c r="G9" s="49">
        <f t="shared" si="0"/>
        <v>0.89</v>
      </c>
      <c r="H9" s="50">
        <f t="shared" si="1"/>
        <v>8.9999999999999969E-2</v>
      </c>
      <c r="I9" s="51"/>
      <c r="J9" s="52">
        <f t="shared" si="2"/>
        <v>10597.367814292216</v>
      </c>
      <c r="K9" s="53">
        <f t="shared" si="3"/>
        <v>1071.6439362767405</v>
      </c>
      <c r="M9" s="63">
        <f t="shared" si="4"/>
        <v>10.597367814292216</v>
      </c>
      <c r="N9" s="64">
        <f t="shared" si="4"/>
        <v>1.0716439362767405</v>
      </c>
    </row>
    <row r="10" spans="1:14" x14ac:dyDescent="0.25">
      <c r="A10" s="1"/>
      <c r="B10" s="29">
        <v>1020893</v>
      </c>
      <c r="C10" s="29">
        <v>0.9</v>
      </c>
      <c r="D10" s="29">
        <v>1335</v>
      </c>
      <c r="E10" s="34">
        <v>0.01</v>
      </c>
      <c r="F10" s="35">
        <v>0.81</v>
      </c>
      <c r="G10" s="49">
        <f t="shared" si="0"/>
        <v>0.89</v>
      </c>
      <c r="H10" s="50">
        <f t="shared" si="1"/>
        <v>8.9999999999999969E-2</v>
      </c>
      <c r="I10" s="51"/>
      <c r="J10" s="52">
        <f t="shared" si="2"/>
        <v>10597.367814292216</v>
      </c>
      <c r="K10" s="53">
        <f t="shared" si="3"/>
        <v>1071.6439362767405</v>
      </c>
      <c r="M10" s="63">
        <f t="shared" si="4"/>
        <v>10.597367814292216</v>
      </c>
      <c r="N10" s="64">
        <f t="shared" si="4"/>
        <v>1.0716439362767405</v>
      </c>
    </row>
    <row r="11" spans="1:14" x14ac:dyDescent="0.25">
      <c r="A11" s="1"/>
      <c r="B11" s="29">
        <v>1020893</v>
      </c>
      <c r="C11" s="29">
        <v>0.9</v>
      </c>
      <c r="D11" s="29">
        <v>1335</v>
      </c>
      <c r="E11" s="34">
        <v>0.01</v>
      </c>
      <c r="F11" s="35">
        <v>0.81</v>
      </c>
      <c r="G11" s="49">
        <f t="shared" si="0"/>
        <v>0.89</v>
      </c>
      <c r="H11" s="50">
        <f t="shared" si="1"/>
        <v>8.9999999999999969E-2</v>
      </c>
      <c r="I11" s="51"/>
      <c r="J11" s="52">
        <f t="shared" si="2"/>
        <v>10597.367814292216</v>
      </c>
      <c r="K11" s="53">
        <f t="shared" si="3"/>
        <v>1071.6439362767405</v>
      </c>
      <c r="M11" s="63">
        <f t="shared" si="4"/>
        <v>10.597367814292216</v>
      </c>
      <c r="N11" s="64">
        <f t="shared" si="4"/>
        <v>1.0716439362767405</v>
      </c>
    </row>
    <row r="12" spans="1:14" x14ac:dyDescent="0.25">
      <c r="A12" s="1"/>
      <c r="B12" s="29">
        <v>1020893</v>
      </c>
      <c r="C12" s="29">
        <v>0.9</v>
      </c>
      <c r="D12" s="29">
        <v>1335</v>
      </c>
      <c r="E12" s="34">
        <v>0.01</v>
      </c>
      <c r="F12" s="35">
        <v>0.81</v>
      </c>
      <c r="G12" s="49">
        <f t="shared" si="0"/>
        <v>0.89</v>
      </c>
      <c r="H12" s="50">
        <f t="shared" si="1"/>
        <v>8.9999999999999969E-2</v>
      </c>
      <c r="I12" s="51"/>
      <c r="J12" s="52">
        <f t="shared" si="2"/>
        <v>10597.367814292216</v>
      </c>
      <c r="K12" s="53">
        <f t="shared" si="3"/>
        <v>1071.6439362767405</v>
      </c>
      <c r="M12" s="63">
        <f t="shared" si="4"/>
        <v>10.597367814292216</v>
      </c>
      <c r="N12" s="64">
        <f t="shared" si="4"/>
        <v>1.0716439362767405</v>
      </c>
    </row>
    <row r="13" spans="1:14" x14ac:dyDescent="0.25">
      <c r="A13" s="1"/>
      <c r="B13" s="29">
        <v>1020893</v>
      </c>
      <c r="C13" s="29">
        <v>0.9</v>
      </c>
      <c r="D13" s="29">
        <v>1335</v>
      </c>
      <c r="E13" s="34">
        <v>0.01</v>
      </c>
      <c r="F13" s="35">
        <v>0.81</v>
      </c>
      <c r="G13" s="49">
        <f t="shared" si="0"/>
        <v>0.89</v>
      </c>
      <c r="H13" s="50">
        <f t="shared" si="1"/>
        <v>8.9999999999999969E-2</v>
      </c>
      <c r="I13" s="51"/>
      <c r="J13" s="52">
        <f t="shared" si="2"/>
        <v>10597.367814292216</v>
      </c>
      <c r="K13" s="53">
        <f t="shared" si="3"/>
        <v>1071.6439362767405</v>
      </c>
      <c r="M13" s="63">
        <f t="shared" si="4"/>
        <v>10.597367814292216</v>
      </c>
      <c r="N13" s="64">
        <f t="shared" si="4"/>
        <v>1.0716439362767405</v>
      </c>
    </row>
    <row r="14" spans="1:14" x14ac:dyDescent="0.25">
      <c r="A14" s="1"/>
      <c r="B14" s="29">
        <v>1020893</v>
      </c>
      <c r="C14" s="29">
        <v>0.9</v>
      </c>
      <c r="D14" s="29">
        <v>1335</v>
      </c>
      <c r="E14" s="34">
        <v>0.01</v>
      </c>
      <c r="F14" s="35">
        <v>0.81</v>
      </c>
      <c r="G14" s="49">
        <f t="shared" si="0"/>
        <v>0.89</v>
      </c>
      <c r="H14" s="50">
        <f t="shared" si="1"/>
        <v>8.9999999999999969E-2</v>
      </c>
      <c r="I14" s="51"/>
      <c r="J14" s="52">
        <f t="shared" si="2"/>
        <v>10597.367814292216</v>
      </c>
      <c r="K14" s="53">
        <f t="shared" si="3"/>
        <v>1071.6439362767405</v>
      </c>
      <c r="M14" s="63">
        <f t="shared" si="4"/>
        <v>10.597367814292216</v>
      </c>
      <c r="N14" s="64">
        <f t="shared" si="4"/>
        <v>1.0716439362767405</v>
      </c>
    </row>
    <row r="15" spans="1:14" x14ac:dyDescent="0.25">
      <c r="A15" s="1"/>
      <c r="B15" s="29">
        <v>1020893</v>
      </c>
      <c r="C15" s="29">
        <v>0.9</v>
      </c>
      <c r="D15" s="29">
        <v>1335</v>
      </c>
      <c r="E15" s="34">
        <v>0.01</v>
      </c>
      <c r="F15" s="35">
        <v>0.81</v>
      </c>
      <c r="G15" s="49">
        <f>ABS(E15-C15)</f>
        <v>0.89</v>
      </c>
      <c r="H15" s="50">
        <f t="shared" si="1"/>
        <v>8.9999999999999969E-2</v>
      </c>
      <c r="I15" s="51"/>
      <c r="J15" s="52">
        <f t="shared" si="2"/>
        <v>10597.367814292216</v>
      </c>
      <c r="K15" s="53">
        <f t="shared" si="3"/>
        <v>1071.6439362767405</v>
      </c>
      <c r="M15" s="63">
        <f t="shared" si="4"/>
        <v>10.597367814292216</v>
      </c>
      <c r="N15" s="64">
        <f t="shared" si="4"/>
        <v>1.0716439362767405</v>
      </c>
    </row>
    <row r="16" spans="1:14" x14ac:dyDescent="0.25">
      <c r="A16" s="1"/>
      <c r="B16" s="29">
        <v>1020893</v>
      </c>
      <c r="C16" s="29">
        <v>0.9</v>
      </c>
      <c r="D16" s="29">
        <v>1335</v>
      </c>
      <c r="E16" s="34">
        <v>0.01</v>
      </c>
      <c r="F16" s="35">
        <v>0.81</v>
      </c>
      <c r="G16" s="49">
        <f t="shared" si="0"/>
        <v>0.89</v>
      </c>
      <c r="H16" s="50">
        <f t="shared" si="1"/>
        <v>8.9999999999999969E-2</v>
      </c>
      <c r="I16" s="51"/>
      <c r="J16" s="52">
        <f t="shared" si="2"/>
        <v>10597.367814292216</v>
      </c>
      <c r="K16" s="53">
        <f t="shared" si="3"/>
        <v>1071.6439362767405</v>
      </c>
      <c r="M16" s="63">
        <f t="shared" si="4"/>
        <v>10.597367814292216</v>
      </c>
      <c r="N16" s="64">
        <f t="shared" si="4"/>
        <v>1.0716439362767405</v>
      </c>
    </row>
    <row r="17" spans="1:14" x14ac:dyDescent="0.25">
      <c r="A17" s="1"/>
      <c r="B17" s="29">
        <v>1020893</v>
      </c>
      <c r="C17" s="29">
        <v>0.9</v>
      </c>
      <c r="D17" s="29">
        <v>1335</v>
      </c>
      <c r="E17" s="34">
        <v>0.01</v>
      </c>
      <c r="F17" s="35">
        <v>0.81</v>
      </c>
      <c r="G17" s="49">
        <f t="shared" si="0"/>
        <v>0.89</v>
      </c>
      <c r="H17" s="50">
        <f t="shared" si="1"/>
        <v>8.9999999999999969E-2</v>
      </c>
      <c r="I17" s="51"/>
      <c r="J17" s="52">
        <f t="shared" si="2"/>
        <v>10597.367814292216</v>
      </c>
      <c r="K17" s="53">
        <f t="shared" si="3"/>
        <v>1071.6439362767405</v>
      </c>
      <c r="M17" s="63">
        <f t="shared" si="4"/>
        <v>10.597367814292216</v>
      </c>
      <c r="N17" s="64">
        <f t="shared" si="4"/>
        <v>1.0716439362767405</v>
      </c>
    </row>
    <row r="18" spans="1:14" x14ac:dyDescent="0.25">
      <c r="A18" s="1"/>
      <c r="B18" s="29">
        <v>1020893</v>
      </c>
      <c r="C18" s="29">
        <v>0.9</v>
      </c>
      <c r="D18" s="29">
        <v>1335</v>
      </c>
      <c r="E18" s="34">
        <v>0.01</v>
      </c>
      <c r="F18" s="35">
        <v>0.81</v>
      </c>
      <c r="G18" s="49">
        <f t="shared" si="0"/>
        <v>0.89</v>
      </c>
      <c r="H18" s="50">
        <f t="shared" si="1"/>
        <v>8.9999999999999969E-2</v>
      </c>
      <c r="I18" s="51"/>
      <c r="J18" s="52">
        <f t="shared" si="2"/>
        <v>10597.367814292216</v>
      </c>
      <c r="K18" s="53">
        <f t="shared" si="3"/>
        <v>1071.6439362767405</v>
      </c>
      <c r="M18" s="63">
        <f t="shared" si="4"/>
        <v>10.597367814292216</v>
      </c>
      <c r="N18" s="64">
        <f t="shared" si="4"/>
        <v>1.0716439362767405</v>
      </c>
    </row>
    <row r="19" spans="1:14" x14ac:dyDescent="0.25">
      <c r="A19" s="1"/>
      <c r="B19" s="29">
        <v>1020893</v>
      </c>
      <c r="C19" s="29">
        <v>0.9</v>
      </c>
      <c r="D19" s="29">
        <v>1335</v>
      </c>
      <c r="E19" s="34">
        <v>0</v>
      </c>
      <c r="F19" s="35">
        <v>0.81</v>
      </c>
      <c r="G19" s="49">
        <f t="shared" si="0"/>
        <v>0.9</v>
      </c>
      <c r="H19" s="50">
        <f t="shared" si="1"/>
        <v>8.9999999999999969E-2</v>
      </c>
      <c r="I19" s="51"/>
      <c r="J19" s="52">
        <f t="shared" si="2"/>
        <v>10716.439362767409</v>
      </c>
      <c r="K19" s="53">
        <f t="shared" si="3"/>
        <v>1071.6439362767405</v>
      </c>
      <c r="M19" s="63">
        <f t="shared" si="4"/>
        <v>10.716439362767408</v>
      </c>
      <c r="N19" s="64">
        <f t="shared" si="4"/>
        <v>1.0716439362767405</v>
      </c>
    </row>
    <row r="20" spans="1:14" x14ac:dyDescent="0.25">
      <c r="A20" s="1"/>
      <c r="B20" s="29">
        <v>1020893</v>
      </c>
      <c r="C20" s="29">
        <v>0.9</v>
      </c>
      <c r="D20" s="29">
        <v>1335</v>
      </c>
      <c r="E20" s="34">
        <v>0</v>
      </c>
      <c r="F20" s="35">
        <v>0.81</v>
      </c>
      <c r="G20" s="49">
        <f t="shared" si="0"/>
        <v>0.9</v>
      </c>
      <c r="H20" s="50">
        <f t="shared" si="1"/>
        <v>8.9999999999999969E-2</v>
      </c>
      <c r="I20" s="51"/>
      <c r="J20" s="52">
        <f t="shared" si="2"/>
        <v>10716.439362767409</v>
      </c>
      <c r="K20" s="53">
        <f t="shared" si="3"/>
        <v>1071.6439362767405</v>
      </c>
      <c r="M20" s="63">
        <f t="shared" si="4"/>
        <v>10.716439362767408</v>
      </c>
      <c r="N20" s="64">
        <f t="shared" si="4"/>
        <v>1.0716439362767405</v>
      </c>
    </row>
    <row r="21" spans="1:14" x14ac:dyDescent="0.25">
      <c r="A21" s="1"/>
      <c r="B21" s="29">
        <v>1020893</v>
      </c>
      <c r="C21" s="29">
        <v>0.9</v>
      </c>
      <c r="D21" s="29">
        <v>1335</v>
      </c>
      <c r="E21" s="34">
        <v>0</v>
      </c>
      <c r="F21" s="35">
        <v>0.81</v>
      </c>
      <c r="G21" s="49">
        <f t="shared" si="0"/>
        <v>0.9</v>
      </c>
      <c r="H21" s="50">
        <f t="shared" si="1"/>
        <v>8.9999999999999969E-2</v>
      </c>
      <c r="I21" s="51"/>
      <c r="J21" s="52">
        <f t="shared" si="2"/>
        <v>10716.439362767409</v>
      </c>
      <c r="K21" s="53">
        <f t="shared" si="3"/>
        <v>1071.6439362767405</v>
      </c>
      <c r="M21" s="63">
        <f t="shared" si="4"/>
        <v>10.716439362767408</v>
      </c>
      <c r="N21" s="64">
        <f t="shared" si="4"/>
        <v>1.0716439362767405</v>
      </c>
    </row>
    <row r="22" spans="1:14" x14ac:dyDescent="0.25">
      <c r="A22" s="1"/>
      <c r="B22" s="29">
        <v>1020893</v>
      </c>
      <c r="C22" s="29">
        <v>0.9</v>
      </c>
      <c r="D22" s="29">
        <v>1335</v>
      </c>
      <c r="E22" s="34">
        <v>-0.01</v>
      </c>
      <c r="F22" s="35">
        <v>0.79</v>
      </c>
      <c r="G22" s="49">
        <f t="shared" si="0"/>
        <v>0.91</v>
      </c>
      <c r="H22" s="50">
        <f t="shared" si="1"/>
        <v>0.10999999999999999</v>
      </c>
      <c r="I22" s="51"/>
      <c r="J22" s="52">
        <f t="shared" si="2"/>
        <v>10835.510911242603</v>
      </c>
      <c r="K22" s="53">
        <f t="shared" si="3"/>
        <v>1309.7870332271277</v>
      </c>
      <c r="M22" s="63">
        <f t="shared" si="4"/>
        <v>10.835510911242604</v>
      </c>
      <c r="N22" s="64">
        <f t="shared" si="4"/>
        <v>1.3097870332271278</v>
      </c>
    </row>
    <row r="23" spans="1:14" x14ac:dyDescent="0.25">
      <c r="A23" s="1"/>
      <c r="B23" s="29">
        <v>1020651</v>
      </c>
      <c r="C23" s="29">
        <v>1.1599999999999999</v>
      </c>
      <c r="D23" s="29">
        <v>435</v>
      </c>
      <c r="E23" s="34">
        <v>-0.79</v>
      </c>
      <c r="F23" s="35">
        <v>1.01</v>
      </c>
      <c r="G23" s="49">
        <f t="shared" si="0"/>
        <v>1.95</v>
      </c>
      <c r="H23" s="50">
        <f t="shared" si="1"/>
        <v>0.14999999999999991</v>
      </c>
      <c r="I23" s="51"/>
      <c r="J23" s="52">
        <f t="shared" si="2"/>
        <v>16199.329658698223</v>
      </c>
      <c r="K23" s="53">
        <f t="shared" si="3"/>
        <v>1246.1022814383241</v>
      </c>
      <c r="M23" s="63">
        <f t="shared" si="4"/>
        <v>16.199329658698222</v>
      </c>
      <c r="N23" s="64">
        <f t="shared" si="4"/>
        <v>1.246102281438324</v>
      </c>
    </row>
    <row r="24" spans="1:14" x14ac:dyDescent="0.25">
      <c r="A24" s="1"/>
      <c r="B24" s="29">
        <v>1020651</v>
      </c>
      <c r="C24" s="29">
        <v>1.1599999999999999</v>
      </c>
      <c r="D24" s="29">
        <v>435</v>
      </c>
      <c r="E24" s="34">
        <v>-0.79</v>
      </c>
      <c r="F24" s="35">
        <v>1.01</v>
      </c>
      <c r="G24" s="49">
        <f t="shared" si="0"/>
        <v>1.95</v>
      </c>
      <c r="H24" s="50">
        <f t="shared" si="1"/>
        <v>0.14999999999999991</v>
      </c>
      <c r="I24" s="51"/>
      <c r="J24" s="52">
        <f t="shared" si="2"/>
        <v>16199.329658698223</v>
      </c>
      <c r="K24" s="53">
        <f t="shared" si="3"/>
        <v>1246.1022814383241</v>
      </c>
      <c r="M24" s="63">
        <f t="shared" si="4"/>
        <v>16.199329658698222</v>
      </c>
      <c r="N24" s="64">
        <f t="shared" si="4"/>
        <v>1.246102281438324</v>
      </c>
    </row>
    <row r="25" spans="1:14" x14ac:dyDescent="0.25">
      <c r="A25" s="1"/>
      <c r="B25" s="29">
        <v>1020682</v>
      </c>
      <c r="C25" s="29">
        <v>1.1599999999999999</v>
      </c>
      <c r="D25" s="29">
        <v>1116</v>
      </c>
      <c r="E25" s="34">
        <v>-1.19</v>
      </c>
      <c r="F25" s="35">
        <v>1.19</v>
      </c>
      <c r="G25" s="49">
        <f t="shared" si="0"/>
        <v>2.3499999999999996</v>
      </c>
      <c r="H25" s="50">
        <f t="shared" si="1"/>
        <v>3.0000000000000027E-2</v>
      </c>
      <c r="I25" s="51"/>
      <c r="J25" s="52">
        <f t="shared" si="2"/>
        <v>50084.717904983154</v>
      </c>
      <c r="K25" s="53">
        <f t="shared" si="3"/>
        <v>639.37937751042386</v>
      </c>
      <c r="M25" s="63">
        <f t="shared" si="4"/>
        <v>50.084717904983151</v>
      </c>
      <c r="N25" s="64">
        <f t="shared" si="4"/>
        <v>0.63937937751042384</v>
      </c>
    </row>
    <row r="26" spans="1:14" x14ac:dyDescent="0.25">
      <c r="A26" s="1"/>
      <c r="B26" s="29">
        <v>1020682</v>
      </c>
      <c r="C26" s="29">
        <v>1.1599999999999999</v>
      </c>
      <c r="D26" s="29">
        <v>1116</v>
      </c>
      <c r="E26" s="34">
        <v>-1.1000000000000001</v>
      </c>
      <c r="F26" s="35">
        <v>1.2</v>
      </c>
      <c r="G26" s="49">
        <f t="shared" si="0"/>
        <v>2.2599999999999998</v>
      </c>
      <c r="H26" s="50">
        <f t="shared" si="1"/>
        <v>4.0000000000000036E-2</v>
      </c>
      <c r="I26" s="51"/>
      <c r="J26" s="52">
        <f t="shared" si="2"/>
        <v>48166.579772451885</v>
      </c>
      <c r="K26" s="53">
        <f t="shared" si="3"/>
        <v>852.50583668056527</v>
      </c>
      <c r="M26" s="63">
        <f t="shared" si="4"/>
        <v>48.166579772451882</v>
      </c>
      <c r="N26" s="64">
        <f t="shared" si="4"/>
        <v>0.85250583668056523</v>
      </c>
    </row>
    <row r="27" spans="1:14" x14ac:dyDescent="0.25">
      <c r="A27" s="1"/>
      <c r="B27" s="29">
        <v>1020682</v>
      </c>
      <c r="C27" s="29">
        <v>1.1599999999999999</v>
      </c>
      <c r="D27" s="29">
        <v>1116</v>
      </c>
      <c r="E27" s="34">
        <v>-1.1000000000000001</v>
      </c>
      <c r="F27" s="35">
        <v>1.2</v>
      </c>
      <c r="G27" s="49">
        <f t="shared" si="0"/>
        <v>2.2599999999999998</v>
      </c>
      <c r="H27" s="50">
        <f t="shared" si="1"/>
        <v>4.0000000000000036E-2</v>
      </c>
      <c r="I27" s="51"/>
      <c r="J27" s="52">
        <f t="shared" si="2"/>
        <v>48166.579772451885</v>
      </c>
      <c r="K27" s="53">
        <f t="shared" si="3"/>
        <v>852.50583668056527</v>
      </c>
      <c r="M27" s="63">
        <f t="shared" si="4"/>
        <v>48.166579772451882</v>
      </c>
      <c r="N27" s="64">
        <f t="shared" si="4"/>
        <v>0.85250583668056523</v>
      </c>
    </row>
    <row r="28" spans="1:14" x14ac:dyDescent="0.25">
      <c r="A28" s="1"/>
      <c r="B28" s="29">
        <v>1017079</v>
      </c>
      <c r="C28" s="29">
        <v>2.5</v>
      </c>
      <c r="D28" s="29">
        <v>535</v>
      </c>
      <c r="E28" s="34">
        <v>1.5</v>
      </c>
      <c r="F28" s="35">
        <v>3.05</v>
      </c>
      <c r="G28" s="49">
        <f t="shared" si="0"/>
        <v>1</v>
      </c>
      <c r="H28" s="50">
        <f t="shared" si="1"/>
        <v>0.54999999999999982</v>
      </c>
      <c r="I28" s="51"/>
      <c r="J28" s="52">
        <f t="shared" si="2"/>
        <v>102275.83067819757</v>
      </c>
      <c r="K28" s="53">
        <f t="shared" si="3"/>
        <v>56251.706873008639</v>
      </c>
      <c r="M28" s="63">
        <f t="shared" si="4"/>
        <v>102.27583067819756</v>
      </c>
      <c r="N28" s="64">
        <f t="shared" si="4"/>
        <v>56.251706873008636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8"/>
  <dimension ref="A1:N32"/>
  <sheetViews>
    <sheetView workbookViewId="0">
      <selection activeCell="G32" sqref="G32"/>
    </sheetView>
  </sheetViews>
  <sheetFormatPr defaultRowHeight="15" x14ac:dyDescent="0.25"/>
  <cols>
    <col min="2" max="2" width="26.140625" style="3" customWidth="1"/>
    <col min="3" max="3" width="16.5703125" style="3" customWidth="1"/>
    <col min="4" max="4" width="13.85546875" style="3" customWidth="1"/>
    <col min="5" max="5" width="12.5703125" style="30" customWidth="1"/>
    <col min="6" max="6" width="12.5703125" style="32" customWidth="1"/>
    <col min="7" max="7" width="9.140625" style="38"/>
    <col min="8" max="8" width="11.5703125" style="39" customWidth="1"/>
    <col min="9" max="9" width="11.5703125" style="42" customWidth="1"/>
    <col min="10" max="10" width="19.140625" style="40" customWidth="1"/>
    <col min="11" max="11" width="19" style="41" customWidth="1"/>
    <col min="13" max="13" width="16" style="65" customWidth="1"/>
    <col min="14" max="14" width="17" style="66" customWidth="1"/>
    <col min="16" max="16" width="13.85546875" customWidth="1"/>
  </cols>
  <sheetData>
    <row r="1" spans="1:14" ht="18.75" x14ac:dyDescent="0.3">
      <c r="A1" s="1"/>
      <c r="B1" s="2" t="s">
        <v>12</v>
      </c>
      <c r="C1" s="2" t="s">
        <v>9</v>
      </c>
      <c r="D1" s="2" t="s">
        <v>8</v>
      </c>
      <c r="E1" s="43" t="s">
        <v>14</v>
      </c>
      <c r="F1" s="43" t="s">
        <v>15</v>
      </c>
      <c r="G1" s="44" t="s">
        <v>18</v>
      </c>
      <c r="H1" s="45" t="s">
        <v>19</v>
      </c>
      <c r="I1" s="46"/>
      <c r="J1" s="47" t="s">
        <v>16</v>
      </c>
      <c r="K1" s="48" t="s">
        <v>17</v>
      </c>
      <c r="M1" s="59" t="s">
        <v>16</v>
      </c>
      <c r="N1" s="60" t="s">
        <v>17</v>
      </c>
    </row>
    <row r="2" spans="1:14" ht="18.75" x14ac:dyDescent="0.3">
      <c r="A2" s="1"/>
      <c r="B2" s="2"/>
      <c r="C2" s="4"/>
      <c r="D2" s="4"/>
      <c r="E2" s="13" t="s">
        <v>0</v>
      </c>
      <c r="F2" s="14" t="s">
        <v>1</v>
      </c>
      <c r="G2" s="49"/>
      <c r="H2" s="50"/>
      <c r="I2" s="51"/>
      <c r="J2" s="56" t="s">
        <v>20</v>
      </c>
      <c r="K2" s="57" t="s">
        <v>20</v>
      </c>
      <c r="M2" s="61" t="s">
        <v>21</v>
      </c>
      <c r="N2" s="62" t="s">
        <v>21</v>
      </c>
    </row>
    <row r="3" spans="1:14" x14ac:dyDescent="0.25">
      <c r="A3" s="1"/>
      <c r="B3" s="29">
        <v>1020950</v>
      </c>
      <c r="C3" s="29">
        <v>0.4</v>
      </c>
      <c r="D3" s="29">
        <v>658</v>
      </c>
      <c r="E3" s="80">
        <v>-1.5</v>
      </c>
      <c r="F3" s="79">
        <v>0.25</v>
      </c>
      <c r="G3" s="49">
        <f t="shared" ref="G3:G28" si="0">ABS(E3-C3)</f>
        <v>1.9</v>
      </c>
      <c r="H3" s="50">
        <f t="shared" ref="H3:H28" si="1">ABS(F3-C3)</f>
        <v>0.15000000000000002</v>
      </c>
      <c r="I3" s="51"/>
      <c r="J3" s="52">
        <f t="shared" ref="J3:J28" si="2">(((2*(D3/1000)*((C3/1000)^3)*210000000000/(0.0325^3))))*(G3/1000)</f>
        <v>978.94586436049156</v>
      </c>
      <c r="K3" s="53">
        <f t="shared" ref="K3:K28" si="3">(((2*(D3/1000)*((C3/1000)^3)*210000000000/(0.0325^3))))*(H3/1000)</f>
        <v>77.285199817933545</v>
      </c>
      <c r="M3" s="61"/>
      <c r="N3" s="62"/>
    </row>
    <row r="4" spans="1:14" x14ac:dyDescent="0.25">
      <c r="A4" s="1"/>
      <c r="B4" s="29">
        <v>1020950</v>
      </c>
      <c r="C4" s="29">
        <v>0.4</v>
      </c>
      <c r="D4" s="29">
        <v>658</v>
      </c>
      <c r="E4" s="80">
        <v>-1.5</v>
      </c>
      <c r="F4" s="79">
        <v>0.25</v>
      </c>
      <c r="G4" s="49">
        <f t="shared" si="0"/>
        <v>1.9</v>
      </c>
      <c r="H4" s="50">
        <f t="shared" si="1"/>
        <v>0.15000000000000002</v>
      </c>
      <c r="I4" s="51"/>
      <c r="J4" s="52">
        <f t="shared" si="2"/>
        <v>978.94586436049156</v>
      </c>
      <c r="K4" s="53">
        <f t="shared" si="3"/>
        <v>77.285199817933545</v>
      </c>
      <c r="M4" s="63">
        <f t="shared" ref="M4:N28" si="4">J4/1000</f>
        <v>0.97894586436049158</v>
      </c>
      <c r="N4" s="64">
        <f t="shared" si="4"/>
        <v>7.7285199817933539E-2</v>
      </c>
    </row>
    <row r="5" spans="1:14" x14ac:dyDescent="0.25">
      <c r="A5" s="1"/>
      <c r="B5" s="29">
        <v>1020877</v>
      </c>
      <c r="C5" s="29">
        <v>0.6</v>
      </c>
      <c r="D5" s="29">
        <v>930</v>
      </c>
      <c r="E5" s="80">
        <v>-1</v>
      </c>
      <c r="F5" s="79">
        <v>0.1</v>
      </c>
      <c r="G5" s="49">
        <f t="shared" si="0"/>
        <v>1.6</v>
      </c>
      <c r="H5" s="50">
        <f t="shared" si="1"/>
        <v>0.5</v>
      </c>
      <c r="I5" s="51"/>
      <c r="J5" s="52">
        <f t="shared" si="2"/>
        <v>3932.3837232589881</v>
      </c>
      <c r="K5" s="53">
        <f t="shared" si="3"/>
        <v>1228.8699135184338</v>
      </c>
      <c r="M5" s="63">
        <f t="shared" si="4"/>
        <v>3.932383723258988</v>
      </c>
      <c r="N5" s="64">
        <f t="shared" si="4"/>
        <v>1.2288699135184338</v>
      </c>
    </row>
    <row r="6" spans="1:14" x14ac:dyDescent="0.25">
      <c r="A6" s="1"/>
      <c r="B6" s="29">
        <v>1020877</v>
      </c>
      <c r="C6" s="29">
        <v>0.6</v>
      </c>
      <c r="D6" s="29">
        <v>930</v>
      </c>
      <c r="E6" s="80">
        <v>-1</v>
      </c>
      <c r="F6" s="79">
        <v>0.1</v>
      </c>
      <c r="G6" s="49">
        <f t="shared" si="0"/>
        <v>1.6</v>
      </c>
      <c r="H6" s="50">
        <f t="shared" si="1"/>
        <v>0.5</v>
      </c>
      <c r="I6" s="51"/>
      <c r="J6" s="52">
        <f t="shared" si="2"/>
        <v>3932.3837232589881</v>
      </c>
      <c r="K6" s="53">
        <f t="shared" si="3"/>
        <v>1228.8699135184338</v>
      </c>
      <c r="M6" s="63">
        <f t="shared" si="4"/>
        <v>3.932383723258988</v>
      </c>
      <c r="N6" s="64">
        <f t="shared" si="4"/>
        <v>1.2288699135184338</v>
      </c>
    </row>
    <row r="7" spans="1:14" x14ac:dyDescent="0.25">
      <c r="A7" s="1"/>
      <c r="B7" s="29">
        <v>1020877</v>
      </c>
      <c r="C7" s="29">
        <v>0.6</v>
      </c>
      <c r="D7" s="29">
        <v>930</v>
      </c>
      <c r="E7" s="80">
        <v>-1</v>
      </c>
      <c r="F7" s="79">
        <v>0.1</v>
      </c>
      <c r="G7" s="49">
        <f>ABS(E7-C7)</f>
        <v>1.6</v>
      </c>
      <c r="H7" s="50">
        <f t="shared" si="1"/>
        <v>0.5</v>
      </c>
      <c r="I7" s="51"/>
      <c r="J7" s="52">
        <f t="shared" si="2"/>
        <v>3932.3837232589881</v>
      </c>
      <c r="K7" s="53">
        <f t="shared" si="3"/>
        <v>1228.8699135184338</v>
      </c>
      <c r="M7" s="63">
        <f t="shared" si="4"/>
        <v>3.932383723258988</v>
      </c>
      <c r="N7" s="64">
        <f t="shared" si="4"/>
        <v>1.2288699135184338</v>
      </c>
    </row>
    <row r="8" spans="1:14" x14ac:dyDescent="0.25">
      <c r="A8" s="1"/>
      <c r="B8" s="29">
        <v>1020877</v>
      </c>
      <c r="C8" s="29">
        <v>0.6</v>
      </c>
      <c r="D8" s="29">
        <v>930</v>
      </c>
      <c r="E8" s="80">
        <v>-1</v>
      </c>
      <c r="F8" s="79">
        <v>0.1</v>
      </c>
      <c r="G8" s="49">
        <f t="shared" si="0"/>
        <v>1.6</v>
      </c>
      <c r="H8" s="50">
        <f t="shared" si="1"/>
        <v>0.5</v>
      </c>
      <c r="I8" s="51"/>
      <c r="J8" s="52">
        <f t="shared" si="2"/>
        <v>3932.3837232589881</v>
      </c>
      <c r="K8" s="53">
        <f t="shared" si="3"/>
        <v>1228.8699135184338</v>
      </c>
      <c r="M8" s="63">
        <f t="shared" si="4"/>
        <v>3.932383723258988</v>
      </c>
      <c r="N8" s="64">
        <f t="shared" si="4"/>
        <v>1.2288699135184338</v>
      </c>
    </row>
    <row r="9" spans="1:14" x14ac:dyDescent="0.25">
      <c r="A9" s="1"/>
      <c r="B9" s="29">
        <v>1020877</v>
      </c>
      <c r="C9" s="29">
        <v>0.6</v>
      </c>
      <c r="D9" s="29">
        <v>930</v>
      </c>
      <c r="E9" s="80">
        <v>-1</v>
      </c>
      <c r="F9" s="79">
        <v>0.1</v>
      </c>
      <c r="G9" s="49">
        <f t="shared" si="0"/>
        <v>1.6</v>
      </c>
      <c r="H9" s="50">
        <f t="shared" si="1"/>
        <v>0.5</v>
      </c>
      <c r="I9" s="51"/>
      <c r="J9" s="52">
        <f t="shared" si="2"/>
        <v>3932.3837232589881</v>
      </c>
      <c r="K9" s="53">
        <f t="shared" si="3"/>
        <v>1228.8699135184338</v>
      </c>
      <c r="M9" s="63">
        <f t="shared" si="4"/>
        <v>3.932383723258988</v>
      </c>
      <c r="N9" s="64">
        <f t="shared" si="4"/>
        <v>1.2288699135184338</v>
      </c>
    </row>
    <row r="10" spans="1:14" x14ac:dyDescent="0.25">
      <c r="A10" s="1"/>
      <c r="B10" s="29">
        <v>1020877</v>
      </c>
      <c r="C10" s="29">
        <v>0.6</v>
      </c>
      <c r="D10" s="29">
        <v>930</v>
      </c>
      <c r="E10" s="80">
        <v>-1</v>
      </c>
      <c r="F10" s="79">
        <v>0.1</v>
      </c>
      <c r="G10" s="49">
        <f t="shared" si="0"/>
        <v>1.6</v>
      </c>
      <c r="H10" s="50">
        <f t="shared" si="1"/>
        <v>0.5</v>
      </c>
      <c r="I10" s="51"/>
      <c r="J10" s="52">
        <f t="shared" si="2"/>
        <v>3932.3837232589881</v>
      </c>
      <c r="K10" s="53">
        <f t="shared" si="3"/>
        <v>1228.8699135184338</v>
      </c>
      <c r="M10" s="63">
        <f t="shared" si="4"/>
        <v>3.932383723258988</v>
      </c>
      <c r="N10" s="64">
        <f t="shared" si="4"/>
        <v>1.2288699135184338</v>
      </c>
    </row>
    <row r="11" spans="1:14" x14ac:dyDescent="0.25">
      <c r="A11" s="1"/>
      <c r="B11" s="29">
        <v>1020877</v>
      </c>
      <c r="C11" s="29">
        <v>0.6</v>
      </c>
      <c r="D11" s="29">
        <v>930</v>
      </c>
      <c r="E11" s="80">
        <v>-1</v>
      </c>
      <c r="F11" s="79">
        <v>0</v>
      </c>
      <c r="G11" s="49">
        <f t="shared" si="0"/>
        <v>1.6</v>
      </c>
      <c r="H11" s="50">
        <f t="shared" si="1"/>
        <v>0.6</v>
      </c>
      <c r="I11" s="51"/>
      <c r="J11" s="52">
        <f t="shared" si="2"/>
        <v>3932.3837232589881</v>
      </c>
      <c r="K11" s="53">
        <f t="shared" si="3"/>
        <v>1474.6438962221202</v>
      </c>
      <c r="M11" s="63">
        <f t="shared" si="4"/>
        <v>3.932383723258988</v>
      </c>
      <c r="N11" s="64">
        <f t="shared" si="4"/>
        <v>1.4746438962221202</v>
      </c>
    </row>
    <row r="12" spans="1:14" x14ac:dyDescent="0.25">
      <c r="A12" s="1"/>
      <c r="B12" s="29">
        <v>1020877</v>
      </c>
      <c r="C12" s="29">
        <v>0.6</v>
      </c>
      <c r="D12" s="29">
        <v>930</v>
      </c>
      <c r="E12" s="80">
        <v>-1</v>
      </c>
      <c r="F12" s="79">
        <v>0</v>
      </c>
      <c r="G12" s="49">
        <f t="shared" si="0"/>
        <v>1.6</v>
      </c>
      <c r="H12" s="50">
        <f t="shared" si="1"/>
        <v>0.6</v>
      </c>
      <c r="I12" s="51"/>
      <c r="J12" s="52">
        <f t="shared" si="2"/>
        <v>3932.3837232589881</v>
      </c>
      <c r="K12" s="53">
        <f t="shared" si="3"/>
        <v>1474.6438962221202</v>
      </c>
      <c r="M12" s="63">
        <f t="shared" si="4"/>
        <v>3.932383723258988</v>
      </c>
      <c r="N12" s="64">
        <f t="shared" si="4"/>
        <v>1.4746438962221202</v>
      </c>
    </row>
    <row r="13" spans="1:14" x14ac:dyDescent="0.25">
      <c r="A13" s="1"/>
      <c r="B13" s="29">
        <v>1020877</v>
      </c>
      <c r="C13" s="29">
        <v>0.6</v>
      </c>
      <c r="D13" s="29">
        <v>930</v>
      </c>
      <c r="E13" s="80">
        <v>-1</v>
      </c>
      <c r="F13" s="79">
        <v>0</v>
      </c>
      <c r="G13" s="49">
        <f t="shared" si="0"/>
        <v>1.6</v>
      </c>
      <c r="H13" s="50">
        <f t="shared" si="1"/>
        <v>0.6</v>
      </c>
      <c r="I13" s="51"/>
      <c r="J13" s="52">
        <f t="shared" si="2"/>
        <v>3932.3837232589881</v>
      </c>
      <c r="K13" s="53">
        <f t="shared" si="3"/>
        <v>1474.6438962221202</v>
      </c>
      <c r="M13" s="63">
        <f t="shared" si="4"/>
        <v>3.932383723258988</v>
      </c>
      <c r="N13" s="64">
        <f t="shared" si="4"/>
        <v>1.4746438962221202</v>
      </c>
    </row>
    <row r="14" spans="1:14" x14ac:dyDescent="0.25">
      <c r="A14" s="1"/>
      <c r="B14" s="29">
        <v>1020892</v>
      </c>
      <c r="C14" s="29">
        <v>0.65</v>
      </c>
      <c r="D14" s="29">
        <v>880</v>
      </c>
      <c r="E14" s="80">
        <v>-1.2</v>
      </c>
      <c r="F14" s="79">
        <v>0.6</v>
      </c>
      <c r="G14" s="49">
        <f t="shared" si="0"/>
        <v>1.85</v>
      </c>
      <c r="H14" s="50">
        <f t="shared" si="1"/>
        <v>5.0000000000000044E-2</v>
      </c>
      <c r="I14" s="51"/>
      <c r="J14" s="52">
        <f t="shared" si="2"/>
        <v>5470.0799999999981</v>
      </c>
      <c r="K14" s="53">
        <f t="shared" si="3"/>
        <v>147.84000000000009</v>
      </c>
      <c r="M14" s="63">
        <f t="shared" si="4"/>
        <v>5.4700799999999985</v>
      </c>
      <c r="N14" s="64">
        <f t="shared" si="4"/>
        <v>0.14784000000000008</v>
      </c>
    </row>
    <row r="15" spans="1:14" x14ac:dyDescent="0.25">
      <c r="A15" s="1"/>
      <c r="B15" s="29">
        <v>1020892</v>
      </c>
      <c r="C15" s="29">
        <v>0.65</v>
      </c>
      <c r="D15" s="29">
        <v>880</v>
      </c>
      <c r="E15" s="80">
        <v>-1.2</v>
      </c>
      <c r="F15" s="79">
        <v>0.6</v>
      </c>
      <c r="G15" s="49">
        <f>ABS(E15-C15)</f>
        <v>1.85</v>
      </c>
      <c r="H15" s="50">
        <f t="shared" si="1"/>
        <v>5.0000000000000044E-2</v>
      </c>
      <c r="I15" s="51"/>
      <c r="J15" s="52">
        <f t="shared" si="2"/>
        <v>5470.0799999999981</v>
      </c>
      <c r="K15" s="53">
        <f t="shared" si="3"/>
        <v>147.84000000000009</v>
      </c>
      <c r="M15" s="63">
        <f t="shared" si="4"/>
        <v>5.4700799999999985</v>
      </c>
      <c r="N15" s="64">
        <f t="shared" si="4"/>
        <v>0.14784000000000008</v>
      </c>
    </row>
    <row r="16" spans="1:14" x14ac:dyDescent="0.25">
      <c r="A16" s="1"/>
      <c r="B16" s="29">
        <v>1020892</v>
      </c>
      <c r="C16" s="29">
        <v>0.65</v>
      </c>
      <c r="D16" s="29">
        <v>880</v>
      </c>
      <c r="E16" s="80">
        <v>-1.2</v>
      </c>
      <c r="F16" s="79">
        <v>0.6</v>
      </c>
      <c r="G16" s="49">
        <f t="shared" si="0"/>
        <v>1.85</v>
      </c>
      <c r="H16" s="50">
        <f t="shared" si="1"/>
        <v>5.0000000000000044E-2</v>
      </c>
      <c r="I16" s="51"/>
      <c r="J16" s="52">
        <f t="shared" si="2"/>
        <v>5470.0799999999981</v>
      </c>
      <c r="K16" s="53">
        <f t="shared" si="3"/>
        <v>147.84000000000009</v>
      </c>
      <c r="M16" s="63">
        <f t="shared" si="4"/>
        <v>5.4700799999999985</v>
      </c>
      <c r="N16" s="64">
        <f t="shared" si="4"/>
        <v>0.14784000000000008</v>
      </c>
    </row>
    <row r="17" spans="1:14" x14ac:dyDescent="0.25">
      <c r="A17" s="1"/>
      <c r="B17" s="29">
        <v>1020892</v>
      </c>
      <c r="C17" s="29">
        <v>0.65</v>
      </c>
      <c r="D17" s="29">
        <v>880</v>
      </c>
      <c r="E17" s="80">
        <v>-1.2</v>
      </c>
      <c r="F17" s="79">
        <v>0.6</v>
      </c>
      <c r="G17" s="49">
        <f t="shared" si="0"/>
        <v>1.85</v>
      </c>
      <c r="H17" s="50">
        <f t="shared" si="1"/>
        <v>5.0000000000000044E-2</v>
      </c>
      <c r="I17" s="51"/>
      <c r="J17" s="52">
        <f t="shared" si="2"/>
        <v>5470.0799999999981</v>
      </c>
      <c r="K17" s="53">
        <f t="shared" si="3"/>
        <v>147.84000000000009</v>
      </c>
      <c r="M17" s="63">
        <f t="shared" si="4"/>
        <v>5.4700799999999985</v>
      </c>
      <c r="N17" s="64">
        <f t="shared" si="4"/>
        <v>0.14784000000000008</v>
      </c>
    </row>
    <row r="18" spans="1:14" x14ac:dyDescent="0.25">
      <c r="A18" s="1"/>
      <c r="B18" s="29">
        <v>1020892</v>
      </c>
      <c r="C18" s="29">
        <v>0.65</v>
      </c>
      <c r="D18" s="29">
        <v>880</v>
      </c>
      <c r="E18" s="80">
        <v>-1.2</v>
      </c>
      <c r="F18" s="79">
        <v>0.6</v>
      </c>
      <c r="G18" s="49">
        <f t="shared" si="0"/>
        <v>1.85</v>
      </c>
      <c r="H18" s="50">
        <f t="shared" si="1"/>
        <v>5.0000000000000044E-2</v>
      </c>
      <c r="I18" s="51"/>
      <c r="J18" s="52">
        <f t="shared" si="2"/>
        <v>5470.0799999999981</v>
      </c>
      <c r="K18" s="53">
        <f t="shared" si="3"/>
        <v>147.84000000000009</v>
      </c>
      <c r="M18" s="63">
        <f t="shared" si="4"/>
        <v>5.4700799999999985</v>
      </c>
      <c r="N18" s="64">
        <f t="shared" si="4"/>
        <v>0.14784000000000008</v>
      </c>
    </row>
    <row r="19" spans="1:14" x14ac:dyDescent="0.25">
      <c r="A19" s="1"/>
      <c r="B19" s="29">
        <v>1020892</v>
      </c>
      <c r="C19" s="29">
        <v>0.65</v>
      </c>
      <c r="D19" s="29">
        <v>880</v>
      </c>
      <c r="E19" s="80">
        <v>-1.2</v>
      </c>
      <c r="F19" s="79">
        <v>0.6</v>
      </c>
      <c r="G19" s="49">
        <f t="shared" si="0"/>
        <v>1.85</v>
      </c>
      <c r="H19" s="50">
        <f t="shared" si="1"/>
        <v>5.0000000000000044E-2</v>
      </c>
      <c r="I19" s="51"/>
      <c r="J19" s="52">
        <f t="shared" si="2"/>
        <v>5470.0799999999981</v>
      </c>
      <c r="K19" s="53">
        <f t="shared" si="3"/>
        <v>147.84000000000009</v>
      </c>
      <c r="M19" s="63">
        <f t="shared" si="4"/>
        <v>5.4700799999999985</v>
      </c>
      <c r="N19" s="64">
        <f t="shared" si="4"/>
        <v>0.14784000000000008</v>
      </c>
    </row>
    <row r="20" spans="1:14" x14ac:dyDescent="0.25">
      <c r="A20" s="1"/>
      <c r="B20" s="29">
        <v>1020892</v>
      </c>
      <c r="C20" s="29">
        <v>0.65</v>
      </c>
      <c r="D20" s="29">
        <v>880</v>
      </c>
      <c r="E20" s="80">
        <v>-1.2</v>
      </c>
      <c r="F20" s="79">
        <v>0.6</v>
      </c>
      <c r="G20" s="49">
        <f t="shared" si="0"/>
        <v>1.85</v>
      </c>
      <c r="H20" s="50">
        <f t="shared" si="1"/>
        <v>5.0000000000000044E-2</v>
      </c>
      <c r="I20" s="51"/>
      <c r="J20" s="52">
        <f t="shared" si="2"/>
        <v>5470.0799999999981</v>
      </c>
      <c r="K20" s="53">
        <f t="shared" si="3"/>
        <v>147.84000000000009</v>
      </c>
      <c r="M20" s="63">
        <f t="shared" si="4"/>
        <v>5.4700799999999985</v>
      </c>
      <c r="N20" s="64">
        <f t="shared" si="4"/>
        <v>0.14784000000000008</v>
      </c>
    </row>
    <row r="21" spans="1:14" x14ac:dyDescent="0.25">
      <c r="A21" s="1"/>
      <c r="B21" s="29">
        <v>1020892</v>
      </c>
      <c r="C21" s="29">
        <v>0.65</v>
      </c>
      <c r="D21" s="29">
        <v>880</v>
      </c>
      <c r="E21" s="80">
        <v>-1.2</v>
      </c>
      <c r="F21" s="79">
        <v>0.6</v>
      </c>
      <c r="G21" s="49">
        <f t="shared" si="0"/>
        <v>1.85</v>
      </c>
      <c r="H21" s="50">
        <f t="shared" si="1"/>
        <v>5.0000000000000044E-2</v>
      </c>
      <c r="I21" s="51"/>
      <c r="J21" s="52">
        <f t="shared" si="2"/>
        <v>5470.0799999999981</v>
      </c>
      <c r="K21" s="53">
        <f t="shared" si="3"/>
        <v>147.84000000000009</v>
      </c>
      <c r="M21" s="63">
        <f t="shared" si="4"/>
        <v>5.4700799999999985</v>
      </c>
      <c r="N21" s="64">
        <f t="shared" si="4"/>
        <v>0.14784000000000008</v>
      </c>
    </row>
    <row r="22" spans="1:14" x14ac:dyDescent="0.25">
      <c r="A22" s="1"/>
      <c r="B22" s="29">
        <v>1020892</v>
      </c>
      <c r="C22" s="29">
        <v>0.65</v>
      </c>
      <c r="D22" s="29">
        <v>880</v>
      </c>
      <c r="E22" s="80">
        <v>-1.2</v>
      </c>
      <c r="F22" s="79">
        <v>0.6</v>
      </c>
      <c r="G22" s="49">
        <f t="shared" si="0"/>
        <v>1.85</v>
      </c>
      <c r="H22" s="50">
        <f t="shared" si="1"/>
        <v>5.0000000000000044E-2</v>
      </c>
      <c r="I22" s="51"/>
      <c r="J22" s="52">
        <f t="shared" si="2"/>
        <v>5470.0799999999981</v>
      </c>
      <c r="K22" s="53">
        <f t="shared" si="3"/>
        <v>147.84000000000009</v>
      </c>
      <c r="M22" s="63">
        <f t="shared" si="4"/>
        <v>5.4700799999999985</v>
      </c>
      <c r="N22" s="64">
        <f t="shared" si="4"/>
        <v>0.14784000000000008</v>
      </c>
    </row>
    <row r="23" spans="1:14" x14ac:dyDescent="0.25">
      <c r="A23" s="1"/>
      <c r="B23" s="29">
        <v>1020698</v>
      </c>
      <c r="C23" s="29">
        <v>0.8</v>
      </c>
      <c r="D23" s="29">
        <v>490</v>
      </c>
      <c r="E23" s="80">
        <v>-1.6</v>
      </c>
      <c r="F23" s="79">
        <v>0.5</v>
      </c>
      <c r="G23" s="49">
        <f t="shared" si="0"/>
        <v>2.4000000000000004</v>
      </c>
      <c r="H23" s="50">
        <f t="shared" si="1"/>
        <v>0.30000000000000004</v>
      </c>
      <c r="I23" s="51"/>
      <c r="J23" s="52">
        <f t="shared" si="2"/>
        <v>7366.7594720072821</v>
      </c>
      <c r="K23" s="53">
        <f t="shared" si="3"/>
        <v>920.84493400091026</v>
      </c>
      <c r="M23" s="63">
        <f t="shared" si="4"/>
        <v>7.3667594720072822</v>
      </c>
      <c r="N23" s="64">
        <f t="shared" si="4"/>
        <v>0.92084493400091028</v>
      </c>
    </row>
    <row r="24" spans="1:14" x14ac:dyDescent="0.25">
      <c r="A24" s="1"/>
      <c r="B24" s="29">
        <v>1020698</v>
      </c>
      <c r="C24" s="29">
        <v>0.8</v>
      </c>
      <c r="D24" s="29">
        <v>490</v>
      </c>
      <c r="E24" s="80">
        <v>-1.6</v>
      </c>
      <c r="F24" s="79">
        <v>0.5</v>
      </c>
      <c r="G24" s="49">
        <f t="shared" si="0"/>
        <v>2.4000000000000004</v>
      </c>
      <c r="H24" s="50">
        <f t="shared" si="1"/>
        <v>0.30000000000000004</v>
      </c>
      <c r="I24" s="51"/>
      <c r="J24" s="52">
        <f t="shared" si="2"/>
        <v>7366.7594720072821</v>
      </c>
      <c r="K24" s="53">
        <f t="shared" si="3"/>
        <v>920.84493400091026</v>
      </c>
      <c r="M24" s="63">
        <f t="shared" si="4"/>
        <v>7.3667594720072822</v>
      </c>
      <c r="N24" s="64">
        <f t="shared" si="4"/>
        <v>0.92084493400091028</v>
      </c>
    </row>
    <row r="25" spans="1:14" x14ac:dyDescent="0.25">
      <c r="A25" s="1"/>
      <c r="B25" s="29">
        <v>1020875</v>
      </c>
      <c r="C25" s="29">
        <v>0.9</v>
      </c>
      <c r="D25" s="29">
        <v>1060</v>
      </c>
      <c r="E25" s="80">
        <v>-0.7</v>
      </c>
      <c r="F25" s="79">
        <v>0.9</v>
      </c>
      <c r="G25" s="49">
        <f t="shared" si="0"/>
        <v>1.6</v>
      </c>
      <c r="H25" s="50">
        <f t="shared" si="1"/>
        <v>0</v>
      </c>
      <c r="I25" s="51"/>
      <c r="J25" s="52">
        <f t="shared" si="2"/>
        <v>15126.9922257624</v>
      </c>
      <c r="K25" s="53">
        <f t="shared" si="3"/>
        <v>0</v>
      </c>
      <c r="M25" s="63">
        <f t="shared" si="4"/>
        <v>15.1269922257624</v>
      </c>
      <c r="N25" s="64">
        <f t="shared" si="4"/>
        <v>0</v>
      </c>
    </row>
    <row r="26" spans="1:14" x14ac:dyDescent="0.25">
      <c r="A26" s="1"/>
      <c r="B26" s="29">
        <v>1020878</v>
      </c>
      <c r="C26" s="29">
        <v>0.9</v>
      </c>
      <c r="D26" s="29">
        <v>1060</v>
      </c>
      <c r="E26" s="80">
        <v>-0.7</v>
      </c>
      <c r="F26" s="79">
        <v>0.9</v>
      </c>
      <c r="G26" s="49">
        <f t="shared" si="0"/>
        <v>1.6</v>
      </c>
      <c r="H26" s="50">
        <f t="shared" si="1"/>
        <v>0</v>
      </c>
      <c r="I26" s="51"/>
      <c r="J26" s="52">
        <f t="shared" si="2"/>
        <v>15126.9922257624</v>
      </c>
      <c r="K26" s="53">
        <f t="shared" si="3"/>
        <v>0</v>
      </c>
      <c r="M26" s="63">
        <f t="shared" si="4"/>
        <v>15.1269922257624</v>
      </c>
      <c r="N26" s="64">
        <f t="shared" si="4"/>
        <v>0</v>
      </c>
    </row>
    <row r="27" spans="1:14" x14ac:dyDescent="0.25">
      <c r="A27" s="1"/>
      <c r="B27" s="29">
        <v>1020875</v>
      </c>
      <c r="C27" s="29">
        <v>0.9</v>
      </c>
      <c r="D27" s="29">
        <v>1060</v>
      </c>
      <c r="E27" s="80">
        <v>-0.7</v>
      </c>
      <c r="F27" s="79">
        <v>0.9</v>
      </c>
      <c r="G27" s="49">
        <f t="shared" si="0"/>
        <v>1.6</v>
      </c>
      <c r="H27" s="50">
        <f t="shared" si="1"/>
        <v>0</v>
      </c>
      <c r="I27" s="51"/>
      <c r="J27" s="52">
        <f t="shared" si="2"/>
        <v>15126.9922257624</v>
      </c>
      <c r="K27" s="53">
        <f t="shared" si="3"/>
        <v>0</v>
      </c>
      <c r="M27" s="63">
        <f t="shared" si="4"/>
        <v>15.1269922257624</v>
      </c>
      <c r="N27" s="64">
        <f t="shared" si="4"/>
        <v>0</v>
      </c>
    </row>
    <row r="28" spans="1:14" x14ac:dyDescent="0.25">
      <c r="A28" s="1"/>
      <c r="B28" s="29">
        <v>1020875</v>
      </c>
      <c r="C28" s="29">
        <v>0.9</v>
      </c>
      <c r="D28" s="29">
        <v>1060</v>
      </c>
      <c r="E28" s="80">
        <v>-0.7</v>
      </c>
      <c r="F28" s="79">
        <v>0.9</v>
      </c>
      <c r="G28" s="49">
        <f t="shared" si="0"/>
        <v>1.6</v>
      </c>
      <c r="H28" s="50">
        <f t="shared" si="1"/>
        <v>0</v>
      </c>
      <c r="I28" s="51"/>
      <c r="J28" s="52">
        <f t="shared" si="2"/>
        <v>15126.9922257624</v>
      </c>
      <c r="K28" s="53">
        <f t="shared" si="3"/>
        <v>0</v>
      </c>
      <c r="M28" s="63">
        <f t="shared" si="4"/>
        <v>15.1269922257624</v>
      </c>
      <c r="N28" s="64">
        <f t="shared" si="4"/>
        <v>0</v>
      </c>
    </row>
    <row r="29" spans="1:14" x14ac:dyDescent="0.25">
      <c r="A29" s="1"/>
      <c r="B29" s="29">
        <v>1020875</v>
      </c>
      <c r="C29" s="29">
        <v>0.9</v>
      </c>
      <c r="D29" s="29">
        <v>1060</v>
      </c>
      <c r="E29" s="80">
        <v>-0.7</v>
      </c>
      <c r="F29" s="79">
        <v>0.9</v>
      </c>
      <c r="G29" s="49">
        <f t="shared" ref="G29:G32" si="5">ABS(E29-C29)</f>
        <v>1.6</v>
      </c>
      <c r="H29" s="50">
        <f t="shared" ref="H29:H32" si="6">ABS(F29-C29)</f>
        <v>0</v>
      </c>
      <c r="I29" s="51"/>
      <c r="J29" s="52">
        <f t="shared" ref="J29:J32" si="7">(((2*(D29/1000)*((C29/1000)^3)*210000000000/(0.0325^3))))*(G29/1000)</f>
        <v>15126.9922257624</v>
      </c>
      <c r="K29" s="53">
        <f t="shared" ref="K29:K32" si="8">(((2*(D29/1000)*((C29/1000)^3)*210000000000/(0.0325^3))))*(H29/1000)</f>
        <v>0</v>
      </c>
      <c r="M29" s="63">
        <f t="shared" ref="M29:M32" si="9">J29/1000</f>
        <v>15.1269922257624</v>
      </c>
      <c r="N29" s="64">
        <f t="shared" ref="N29:N32" si="10">K29/1000</f>
        <v>0</v>
      </c>
    </row>
    <row r="30" spans="1:14" x14ac:dyDescent="0.25">
      <c r="A30" s="1"/>
      <c r="B30" s="29">
        <v>1020875</v>
      </c>
      <c r="C30" s="29">
        <v>0.9</v>
      </c>
      <c r="D30" s="29">
        <v>1060</v>
      </c>
      <c r="E30" s="80">
        <v>-0.7</v>
      </c>
      <c r="F30" s="79">
        <v>0.9</v>
      </c>
      <c r="G30" s="49">
        <f t="shared" si="5"/>
        <v>1.6</v>
      </c>
      <c r="H30" s="50">
        <f t="shared" si="6"/>
        <v>0</v>
      </c>
      <c r="I30" s="51"/>
      <c r="J30" s="52">
        <f t="shared" si="7"/>
        <v>15126.9922257624</v>
      </c>
      <c r="K30" s="53">
        <f t="shared" si="8"/>
        <v>0</v>
      </c>
      <c r="M30" s="63">
        <f t="shared" si="9"/>
        <v>15.1269922257624</v>
      </c>
      <c r="N30" s="64">
        <f t="shared" si="10"/>
        <v>0</v>
      </c>
    </row>
    <row r="31" spans="1:14" x14ac:dyDescent="0.25">
      <c r="A31" s="1"/>
      <c r="B31" s="29">
        <v>1020681</v>
      </c>
      <c r="C31" s="29">
        <v>0.96</v>
      </c>
      <c r="D31" s="29">
        <v>385</v>
      </c>
      <c r="E31" s="80">
        <v>-1</v>
      </c>
      <c r="F31" s="79">
        <v>0.75</v>
      </c>
      <c r="G31" s="49">
        <f t="shared" si="5"/>
        <v>1.96</v>
      </c>
      <c r="H31" s="50">
        <f t="shared" si="6"/>
        <v>0.20999999999999996</v>
      </c>
      <c r="I31" s="51"/>
      <c r="J31" s="52">
        <f t="shared" si="7"/>
        <v>8168.2629025616716</v>
      </c>
      <c r="K31" s="53">
        <f t="shared" si="8"/>
        <v>875.17102527446468</v>
      </c>
      <c r="M31" s="63">
        <f t="shared" si="9"/>
        <v>8.168262902561672</v>
      </c>
      <c r="N31" s="64">
        <f t="shared" si="10"/>
        <v>0.87517102527446466</v>
      </c>
    </row>
    <row r="32" spans="1:14" x14ac:dyDescent="0.25">
      <c r="A32" s="1"/>
      <c r="B32" s="29">
        <v>1020796</v>
      </c>
      <c r="C32" s="29">
        <v>1</v>
      </c>
      <c r="D32" s="29">
        <v>1060</v>
      </c>
      <c r="E32" s="80">
        <v>-1.1000000000000001</v>
      </c>
      <c r="F32" s="79">
        <v>0.9</v>
      </c>
      <c r="G32" s="49">
        <f t="shared" si="5"/>
        <v>2.1</v>
      </c>
      <c r="H32" s="50">
        <f t="shared" si="6"/>
        <v>9.9999999999999978E-2</v>
      </c>
      <c r="I32" s="51"/>
      <c r="J32" s="52">
        <f t="shared" si="7"/>
        <v>27234.811106053712</v>
      </c>
      <c r="K32" s="53">
        <f t="shared" si="8"/>
        <v>1296.8957669549382</v>
      </c>
      <c r="M32" s="63">
        <f t="shared" si="9"/>
        <v>27.234811106053712</v>
      </c>
      <c r="N32" s="64">
        <f t="shared" si="10"/>
        <v>1.2968957669549381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Hárky</vt:lpstr>
      </vt:variant>
      <vt:variant>
        <vt:i4>8</vt:i4>
      </vt:variant>
    </vt:vector>
  </HeadingPairs>
  <TitlesOfParts>
    <vt:vector size="8" baseType="lpstr">
      <vt:lpstr>1030</vt:lpstr>
      <vt:lpstr>1040</vt:lpstr>
      <vt:lpstr>1050</vt:lpstr>
      <vt:lpstr>1060</vt:lpstr>
      <vt:lpstr>forces 1030</vt:lpstr>
      <vt:lpstr>forces 1040</vt:lpstr>
      <vt:lpstr>forces 1050</vt:lpstr>
      <vt:lpstr>forces 1060</vt:lpstr>
    </vt:vector>
  </TitlesOfParts>
  <Company>Paul Craemer GmbH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Líška, Rastislav</dc:creator>
  <cp:lastModifiedBy>Líška, Rastislav</cp:lastModifiedBy>
  <cp:lastPrinted>2019-07-23T11:30:15Z</cp:lastPrinted>
  <dcterms:created xsi:type="dcterms:W3CDTF">2019-07-22T11:32:36Z</dcterms:created>
  <dcterms:modified xsi:type="dcterms:W3CDTF">2020-05-12T04:41:51Z</dcterms:modified>
</cp:coreProperties>
</file>